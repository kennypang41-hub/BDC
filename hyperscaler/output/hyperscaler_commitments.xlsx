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ta" sheetId="2" state="visible" r:id="rId2"/>
    <sheet name="Uncommenced lease commitments" sheetId="3" state="visible" r:id="rId3"/>
    <sheet name="Purchase commitments" sheetId="4" state="visible" r:id="rId4"/>
    <sheet name="Combined" sheetId="5" state="visible" r:id="rId5"/>
    <sheet name="Coverage" sheetId="6" state="visible" r:id="rId6"/>
  </sheets>
  <definedNames>
    <definedName name="_xlnm._FilterDatabase" localSheetId="1" hidden="1">'Data'!$A$1:$K$60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#,##0.0;-#,##0.0;-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9C2B2B"/>
      <sz val="10"/>
    </font>
    <font>
      <name val="Arial"/>
      <b val="1"/>
      <color rgb="00FFFFFF"/>
      <sz val="10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/>
    </xf>
    <xf numFmtId="0" fontId="6" fillId="0" borderId="0" pivotButton="0" quotePrefix="0" xfId="0"/>
    <xf numFmtId="164" fontId="3" fillId="0" borderId="1" pivotButton="0" quotePrefix="0" xfId="0"/>
    <xf numFmtId="164" fontId="2" fillId="3" borderId="0" pivotButton="0" quotePrefix="0" xfId="0"/>
    <xf numFmtId="0" fontId="6" fillId="0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8" customWidth="1" min="2" max="2"/>
  </cols>
  <sheetData>
    <row r="2">
      <c r="A2" s="1" t="inlineStr">
        <is>
          <t>Hyperscaler off-balance-sheet commitments</t>
        </is>
      </c>
    </row>
    <row r="3">
      <c r="A3" s="2" t="n"/>
    </row>
    <row r="4" ht="26" customHeight="1">
      <c r="A4" s="2" t="inlineStr">
        <is>
          <t>What this is</t>
        </is>
      </c>
      <c r="B4" s="3" t="inlineStr">
        <is>
          <t>Twelve quarters of two footnote disclosures for six hyperscalers: signed leases that have not yet commenced, and non-cancelable purchase commitments. Both sit outside the balance sheet but bind future cash.</t>
        </is>
      </c>
    </row>
    <row r="5" ht="15" customHeight="1">
      <c r="A5" s="2" t="inlineStr">
        <is>
          <t>Units</t>
        </is>
      </c>
      <c r="B5" s="3" t="inlineStr">
        <is>
          <t>All figures in USD millions on the Data sheet; matrix sheets display $bn.</t>
        </is>
      </c>
    </row>
    <row r="6" ht="15" customHeight="1">
      <c r="A6" s="2" t="inlineStr">
        <is>
          <t>Quarters</t>
        </is>
      </c>
      <c r="B6" s="3" t="inlineStr">
        <is>
          <t>2023Q3 to 2026Q2 (calendar-aligned).</t>
        </is>
      </c>
    </row>
    <row r="7">
      <c r="A7" s="2" t="n"/>
    </row>
    <row r="8" ht="26" customHeight="1">
      <c r="A8" s="2" t="inlineStr">
        <is>
          <t>Why leases sit off balance sheet</t>
        </is>
      </c>
      <c r="B8" s="3" t="inlineStr">
        <is>
          <t>Signed leases that have not yet commenced. Under ASC 842 a lease is not recognised until the lessor makes the asset available, so these sit in the footnotes only.</t>
        </is>
      </c>
    </row>
    <row r="9" ht="26" customHeight="1">
      <c r="A9" s="2" t="inlineStr">
        <is>
          <t>Purchase commitments</t>
        </is>
      </c>
      <c r="B9" s="3" t="inlineStr">
        <is>
          <t>Non-cancelable purchase / supply / unconditional purchase obligations disclosed in the commitments footnote.</t>
        </is>
      </c>
    </row>
    <row r="10">
      <c r="A10" s="2" t="n"/>
    </row>
    <row r="11" ht="65" customHeight="1">
      <c r="A11" s="2" t="inlineStr">
        <is>
          <t>Definitions are NOT uniform</t>
        </is>
      </c>
      <c r="B11" s="3" t="inlineStr">
        <is>
          <t>The six filers do not use one definition. Alphabet reports 'purchase commitments and other contractual obligations'; Microsoft a contractual-obligations 'purchase commitments' line; Meta 'non-cancelable contractual commitments'; Amazon 'unconditional purchase obligations'; NVIDIA 'purchase commitments and supply obligations'; Oracle 'unconditional purchase and certain other obligations'. Totals across companies are therefore indicative, not like-for-like.</t>
        </is>
      </c>
    </row>
    <row r="12">
      <c r="A12" s="2" t="n"/>
    </row>
    <row r="13" ht="39" customHeight="1">
      <c r="A13" s="2" t="inlineStr">
        <is>
          <t>How the figures were collected</t>
        </is>
      </c>
      <c r="B13" s="3" t="inlineStr">
        <is>
          <t>SEC.gov and every filing mirror were unreachable from the build environment (egress policy blocked all hosts except GitHub). Figures were collected by searching filing text. Each observation carries its provenance; gaps are left empty rather than estimated.</t>
        </is>
      </c>
    </row>
    <row r="14">
      <c r="A14" s="2" t="n"/>
    </row>
    <row r="15">
      <c r="A15" s="2" t="inlineStr">
        <is>
          <t>Provenance codes</t>
        </is>
      </c>
    </row>
    <row r="16">
      <c r="A16" s="4" t="inlineStr">
        <is>
          <t>filing</t>
        </is>
      </c>
      <c r="B16" s="3" t="inlineStr">
        <is>
          <t>Figure quoted directly from the filing's footnote text or commitments table.</t>
        </is>
      </c>
    </row>
    <row r="17">
      <c r="A17" s="4" t="inlineStr">
        <is>
          <t>filing_table</t>
        </is>
      </c>
      <c r="B17" s="3" t="inlineStr">
        <is>
          <t>Figure from the filing's maturity table; the year-by-year rows sum to the stated total (arithmetic check passed).</t>
        </is>
      </c>
    </row>
    <row r="18">
      <c r="A18" s="4" t="inlineStr">
        <is>
          <t>press</t>
        </is>
      </c>
      <c r="B18" s="3" t="inlineStr">
        <is>
          <t>Figure reported by financial press citing the filing; not independently re-read.</t>
        </is>
      </c>
    </row>
    <row r="19">
      <c r="A19" s="4" t="inlineStr">
        <is>
          <t>derived</t>
        </is>
      </c>
      <c r="B19" s="3" t="inlineStr">
        <is>
          <t>Approximate, inferred from a reported change or ratio. Treat as indicative.</t>
        </is>
      </c>
    </row>
    <row r="21">
      <c r="A21" s="2" t="inlineStr">
        <is>
          <t>Series with no data</t>
        </is>
      </c>
    </row>
    <row r="22" ht="39" customHeight="1">
      <c r="A22" s="4" t="inlineStr">
        <is>
          <t>NVDA_uncommenced_leases</t>
        </is>
      </c>
      <c r="B22" s="3" t="inlineStr">
        <is>
          <t>NVIDIA does not disclose a material 'leases not yet commenced' balance. Its off-balance-sheet exposure sits in supply and capacity purchase obligations instead, so this series is empty by disclosure, not by omission.</t>
        </is>
      </c>
    </row>
    <row r="23" ht="26" customHeight="1">
      <c r="A23" s="4" t="inlineStr">
        <is>
          <t>ORCL_early</t>
        </is>
      </c>
      <c r="B23" s="3" t="inlineStr">
        <is>
          <t>Oracle only began disclosing a large uncommenced-lease balance in fiscal 2026; earlier quarters carried immaterial amounts.</t>
        </is>
      </c>
    </row>
    <row r="25">
      <c r="A25" s="5" t="inlineStr">
        <is>
          <t>Empty cell = the company did not disclose a figure we could source for that quarter. It is not a zero, and it is not an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6" customWidth="1" min="4" max="4"/>
    <col width="12" customWidth="1" min="5" max="5"/>
    <col width="22" customWidth="1" min="6" max="6"/>
    <col width="30" customWidth="1" min="7" max="7"/>
    <col width="14" customWidth="1" min="8" max="8"/>
    <col width="12" customWidth="1" min="9" max="9"/>
    <col width="13" customWidth="1" min="10" max="10"/>
    <col width="90" customWidth="1" min="11" max="11"/>
  </cols>
  <sheetData>
    <row r="1" ht="28" customHeight="1">
      <c r="A1" s="6" t="inlineStr">
        <is>
          <t>Ticker</t>
        </is>
      </c>
      <c r="B1" s="6" t="inlineStr">
        <is>
          <t>Company</t>
        </is>
      </c>
      <c r="C1" s="6" t="inlineStr">
        <is>
          <t>CIK</t>
        </is>
      </c>
      <c r="D1" s="6" t="inlineStr">
        <is>
          <t>Calendar quarter</t>
        </is>
      </c>
      <c r="E1" s="6" t="inlineStr">
        <is>
          <t>Period end</t>
        </is>
      </c>
      <c r="F1" s="6" t="inlineStr">
        <is>
          <t>Metric</t>
        </is>
      </c>
      <c r="G1" s="6" t="inlineStr">
        <is>
          <t>Metric label</t>
        </is>
      </c>
      <c r="H1" s="6" t="inlineStr">
        <is>
          <t>Value ($m)</t>
        </is>
      </c>
      <c r="I1" s="6" t="inlineStr">
        <is>
          <t>Value ($bn)</t>
        </is>
      </c>
      <c r="J1" s="6" t="inlineStr">
        <is>
          <t>Provenance</t>
        </is>
      </c>
      <c r="K1" s="6" t="inlineStr">
        <is>
          <t>Note</t>
        </is>
      </c>
    </row>
    <row r="2">
      <c r="A2" s="4" t="inlineStr">
        <is>
          <t>GOOGL</t>
        </is>
      </c>
      <c r="B2" s="4" t="inlineStr">
        <is>
          <t>Alphabet Inc.</t>
        </is>
      </c>
      <c r="C2" s="4" t="inlineStr">
        <is>
          <t>0001652044</t>
        </is>
      </c>
      <c r="D2" s="4" t="inlineStr">
        <is>
          <t>2024Q2</t>
        </is>
      </c>
      <c r="E2" s="4" t="inlineStr">
        <is>
          <t>2024-06-30</t>
        </is>
      </c>
      <c r="F2" s="4" t="inlineStr">
        <is>
          <t>purchase_commitments</t>
        </is>
      </c>
      <c r="G2" s="4" t="inlineStr">
        <is>
          <t>Purchase commitments</t>
        </is>
      </c>
      <c r="H2" s="7" t="n">
        <v>54900</v>
      </c>
      <c r="I2" s="8">
        <f>H2/1000</f>
        <v/>
      </c>
      <c r="J2" s="4" t="inlineStr">
        <is>
          <t>filing</t>
        </is>
      </c>
      <c r="K2" s="9" t="inlineStr">
        <is>
          <t>$41.0bn short-term.</t>
        </is>
      </c>
    </row>
    <row r="3">
      <c r="A3" s="4" t="inlineStr">
        <is>
          <t>GOOGL</t>
        </is>
      </c>
      <c r="B3" s="4" t="inlineStr">
        <is>
          <t>Alphabet Inc.</t>
        </is>
      </c>
      <c r="C3" s="4" t="inlineStr">
        <is>
          <t>0001652044</t>
        </is>
      </c>
      <c r="D3" s="4" t="inlineStr">
        <is>
          <t>2025Q1</t>
        </is>
      </c>
      <c r="E3" s="4" t="inlineStr">
        <is>
          <t>2025-03-31</t>
        </is>
      </c>
      <c r="F3" s="4" t="inlineStr">
        <is>
          <t>purchase_commitments</t>
        </is>
      </c>
      <c r="G3" s="4" t="inlineStr">
        <is>
          <t>Purchase commitments</t>
        </is>
      </c>
      <c r="H3" s="7" t="n">
        <v>62100</v>
      </c>
      <c r="I3" s="8">
        <f>H3/1000</f>
        <v/>
      </c>
      <c r="J3" s="4" t="inlineStr">
        <is>
          <t>filing</t>
        </is>
      </c>
      <c r="K3" s="9" t="inlineStr">
        <is>
          <t>$41.5bn short-term.</t>
        </is>
      </c>
    </row>
    <row r="4">
      <c r="A4" s="4" t="inlineStr">
        <is>
          <t>GOOGL</t>
        </is>
      </c>
      <c r="B4" s="4" t="inlineStr">
        <is>
          <t>Alphabet Inc.</t>
        </is>
      </c>
      <c r="C4" s="4" t="inlineStr">
        <is>
          <t>0001652044</t>
        </is>
      </c>
      <c r="D4" s="4" t="inlineStr">
        <is>
          <t>2025Q2</t>
        </is>
      </c>
      <c r="E4" s="4" t="inlineStr">
        <is>
          <t>2025-06-30</t>
        </is>
      </c>
      <c r="F4" s="4" t="inlineStr">
        <is>
          <t>purchase_commitments</t>
        </is>
      </c>
      <c r="G4" s="4" t="inlineStr">
        <is>
          <t>Purchase commitments</t>
        </is>
      </c>
      <c r="H4" s="7" t="n">
        <v>72500</v>
      </c>
      <c r="I4" s="8">
        <f>H4/1000</f>
        <v/>
      </c>
      <c r="J4" s="4" t="inlineStr">
        <is>
          <t>filing</t>
        </is>
      </c>
      <c r="K4" s="9" t="inlineStr">
        <is>
          <t>$51.0bn short-term.</t>
        </is>
      </c>
    </row>
    <row r="5">
      <c r="A5" s="4" t="inlineStr">
        <is>
          <t>GOOGL</t>
        </is>
      </c>
      <c r="B5" s="4" t="inlineStr">
        <is>
          <t>Alphabet Inc.</t>
        </is>
      </c>
      <c r="C5" s="4" t="inlineStr">
        <is>
          <t>0001652044</t>
        </is>
      </c>
      <c r="D5" s="4" t="inlineStr">
        <is>
          <t>2025Q4</t>
        </is>
      </c>
      <c r="E5" s="4" t="inlineStr">
        <is>
          <t>2025-12-31</t>
        </is>
      </c>
      <c r="F5" s="4" t="inlineStr">
        <is>
          <t>purchase_commitments</t>
        </is>
      </c>
      <c r="G5" s="4" t="inlineStr">
        <is>
          <t>Purchase commitments</t>
        </is>
      </c>
      <c r="H5" s="7" t="n">
        <v>149100</v>
      </c>
      <c r="I5" s="8">
        <f>H5/1000</f>
        <v/>
      </c>
      <c r="J5" s="4" t="inlineStr">
        <is>
          <t>filing</t>
        </is>
      </c>
      <c r="K5" s="9" t="inlineStr">
        <is>
          <t>$113.0bn short-term.</t>
        </is>
      </c>
    </row>
    <row r="6">
      <c r="A6" s="4" t="inlineStr">
        <is>
          <t>GOOGL</t>
        </is>
      </c>
      <c r="B6" s="4" t="inlineStr">
        <is>
          <t>Alphabet Inc.</t>
        </is>
      </c>
      <c r="C6" s="4" t="inlineStr">
        <is>
          <t>0001652044</t>
        </is>
      </c>
      <c r="D6" s="4" t="inlineStr">
        <is>
          <t>2026Q1</t>
        </is>
      </c>
      <c r="E6" s="4" t="inlineStr">
        <is>
          <t>2026-03-31</t>
        </is>
      </c>
      <c r="F6" s="4" t="inlineStr">
        <is>
          <t>purchase_commitments</t>
        </is>
      </c>
      <c r="G6" s="4" t="inlineStr">
        <is>
          <t>Purchase commitments</t>
        </is>
      </c>
      <c r="H6" s="7" t="n">
        <v>332400</v>
      </c>
      <c r="I6" s="8">
        <f>H6/1000</f>
        <v/>
      </c>
      <c r="J6" s="4" t="inlineStr">
        <is>
          <t>filing</t>
        </is>
      </c>
      <c r="K6" s="9" t="inlineStr">
        <is>
          <t>$138.0bn short-term. Matches the Morgan Stanley 1Q26 chart ($332bn).</t>
        </is>
      </c>
    </row>
    <row r="7">
      <c r="A7" s="4" t="inlineStr">
        <is>
          <t>GOOGL</t>
        </is>
      </c>
      <c r="B7" s="4" t="inlineStr">
        <is>
          <t>Alphabet Inc.</t>
        </is>
      </c>
      <c r="C7" s="4" t="inlineStr">
        <is>
          <t>0001652044</t>
        </is>
      </c>
      <c r="D7" s="4" t="inlineStr">
        <is>
          <t>2026Q2</t>
        </is>
      </c>
      <c r="E7" s="4" t="inlineStr">
        <is>
          <t>2026-06-30</t>
        </is>
      </c>
      <c r="F7" s="4" t="inlineStr">
        <is>
          <t>purchase_commitments</t>
        </is>
      </c>
      <c r="G7" s="4" t="inlineStr">
        <is>
          <t>Purchase commitments</t>
        </is>
      </c>
      <c r="H7" s="7" t="n">
        <v>707000</v>
      </c>
      <c r="I7" s="8">
        <f>H7/1000</f>
        <v/>
      </c>
      <c r="J7" s="4" t="inlineStr">
        <is>
          <t>filing</t>
        </is>
      </c>
      <c r="K7" s="9" t="inlineStr">
        <is>
          <t>Footnote figure. A broader MD&amp;A measure including open purchase orders was reported at ~$811bn.</t>
        </is>
      </c>
    </row>
    <row r="8">
      <c r="A8" s="4" t="inlineStr">
        <is>
          <t>MSFT</t>
        </is>
      </c>
      <c r="B8" s="4" t="inlineStr">
        <is>
          <t>Microsoft Corporation</t>
        </is>
      </c>
      <c r="C8" s="4" t="inlineStr">
        <is>
          <t>0000789019</t>
        </is>
      </c>
      <c r="D8" s="4" t="inlineStr">
        <is>
          <t>2025Q2</t>
        </is>
      </c>
      <c r="E8" s="4" t="inlineStr">
        <is>
          <t>2025-06-30</t>
        </is>
      </c>
      <c r="F8" s="4" t="inlineStr">
        <is>
          <t>purchase_commitments</t>
        </is>
      </c>
      <c r="G8" s="4" t="inlineStr">
        <is>
          <t>Purchase commitments</t>
        </is>
      </c>
      <c r="H8" s="7" t="n">
        <v>109950</v>
      </c>
      <c r="I8" s="8">
        <f>H8/1000</f>
        <v/>
      </c>
      <c r="J8" s="4" t="inlineStr">
        <is>
          <t>filing</t>
        </is>
      </c>
      <c r="K8" s="9" t="inlineStr">
        <is>
          <t>FY2025 10-K contractual obligations table. Construction commitments of $32.15bn are additional.</t>
        </is>
      </c>
    </row>
    <row r="9">
      <c r="A9" s="4" t="inlineStr">
        <is>
          <t>MSFT</t>
        </is>
      </c>
      <c r="B9" s="4" t="inlineStr">
        <is>
          <t>Microsoft Corporation</t>
        </is>
      </c>
      <c r="C9" s="4" t="inlineStr">
        <is>
          <t>0000789019</t>
        </is>
      </c>
      <c r="D9" s="4" t="inlineStr">
        <is>
          <t>2026Q1</t>
        </is>
      </c>
      <c r="E9" s="4" t="inlineStr">
        <is>
          <t>2026-03-31</t>
        </is>
      </c>
      <c r="F9" s="4" t="inlineStr">
        <is>
          <t>purchase_commitments</t>
        </is>
      </c>
      <c r="G9" s="4" t="inlineStr">
        <is>
          <t>Purchase commitments</t>
        </is>
      </c>
      <c r="H9" s="7" t="n">
        <v>142000</v>
      </c>
      <c r="I9" s="8">
        <f>H9/1000</f>
        <v/>
      </c>
      <c r="J9" s="4" t="inlineStr">
        <is>
          <t>press</t>
        </is>
      </c>
      <c r="K9" s="9" t="inlineStr">
        <is>
          <t>Morgan Stanley 1Q26 chart; not re-read from the filing.</t>
        </is>
      </c>
    </row>
    <row r="10">
      <c r="A10" s="4" t="inlineStr">
        <is>
          <t>MSFT</t>
        </is>
      </c>
      <c r="B10" s="4" t="inlineStr">
        <is>
          <t>Microsoft Corporation</t>
        </is>
      </c>
      <c r="C10" s="4" t="inlineStr">
        <is>
          <t>0000789019</t>
        </is>
      </c>
      <c r="D10" s="4" t="inlineStr">
        <is>
          <t>2026Q2</t>
        </is>
      </c>
      <c r="E10" s="4" t="inlineStr">
        <is>
          <t>2026-06-30</t>
        </is>
      </c>
      <c r="F10" s="4" t="inlineStr">
        <is>
          <t>purchase_commitments</t>
        </is>
      </c>
      <c r="G10" s="4" t="inlineStr">
        <is>
          <t>Purchase commitments</t>
        </is>
      </c>
      <c r="H10" s="7" t="n">
        <v>194060</v>
      </c>
      <c r="I10" s="8">
        <f>H10/1000</f>
        <v/>
      </c>
      <c r="J10" s="4" t="inlineStr">
        <is>
          <t>filing</t>
        </is>
      </c>
      <c r="K10" s="9" t="inlineStr">
        <is>
          <t>FY2026 10-K contractual obligations table. Construction commitments of $34.57bn are additional.</t>
        </is>
      </c>
    </row>
    <row r="11">
      <c r="A11" s="4" t="inlineStr">
        <is>
          <t>META</t>
        </is>
      </c>
      <c r="B11" s="4" t="inlineStr">
        <is>
          <t>Meta Platforms, Inc.</t>
        </is>
      </c>
      <c r="C11" s="4" t="inlineStr">
        <is>
          <t>0001326801</t>
        </is>
      </c>
      <c r="D11" s="4" t="inlineStr">
        <is>
          <t>2024Q3</t>
        </is>
      </c>
      <c r="E11" s="4" t="inlineStr">
        <is>
          <t>2024-09-30</t>
        </is>
      </c>
      <c r="F11" s="4" t="inlineStr">
        <is>
          <t>purchase_commitments</t>
        </is>
      </c>
      <c r="G11" s="4" t="inlineStr">
        <is>
          <t>Purchase commitments</t>
        </is>
      </c>
      <c r="H11" s="7" t="n">
        <v>32140</v>
      </c>
      <c r="I11" s="8">
        <f>H11/1000</f>
        <v/>
      </c>
      <c r="J11" s="4" t="inlineStr">
        <is>
          <t>filing</t>
        </is>
      </c>
      <c r="K11" s="9" t="inlineStr"/>
    </row>
    <row r="12">
      <c r="A12" s="4" t="inlineStr">
        <is>
          <t>META</t>
        </is>
      </c>
      <c r="B12" s="4" t="inlineStr">
        <is>
          <t>Meta Platforms, Inc.</t>
        </is>
      </c>
      <c r="C12" s="4" t="inlineStr">
        <is>
          <t>0001326801</t>
        </is>
      </c>
      <c r="D12" s="4" t="inlineStr">
        <is>
          <t>2025Q1</t>
        </is>
      </c>
      <c r="E12" s="4" t="inlineStr">
        <is>
          <t>2025-03-31</t>
        </is>
      </c>
      <c r="F12" s="4" t="inlineStr">
        <is>
          <t>purchase_commitments</t>
        </is>
      </c>
      <c r="G12" s="4" t="inlineStr">
        <is>
          <t>Purchase commitments</t>
        </is>
      </c>
      <c r="H12" s="7" t="n">
        <v>30050</v>
      </c>
      <c r="I12" s="8">
        <f>H12/1000</f>
        <v/>
      </c>
      <c r="J12" s="4" t="inlineStr">
        <is>
          <t>filing</t>
        </is>
      </c>
      <c r="K12" s="9" t="inlineStr">
        <is>
          <t>Mostly servers, network infrastructure and content costs.</t>
        </is>
      </c>
    </row>
    <row r="13">
      <c r="A13" s="4" t="inlineStr">
        <is>
          <t>META</t>
        </is>
      </c>
      <c r="B13" s="4" t="inlineStr">
        <is>
          <t>Meta Platforms, Inc.</t>
        </is>
      </c>
      <c r="C13" s="4" t="inlineStr">
        <is>
          <t>0001326801</t>
        </is>
      </c>
      <c r="D13" s="4" t="inlineStr">
        <is>
          <t>2025Q2</t>
        </is>
      </c>
      <c r="E13" s="4" t="inlineStr">
        <is>
          <t>2025-06-30</t>
        </is>
      </c>
      <c r="F13" s="4" t="inlineStr">
        <is>
          <t>purchase_commitments</t>
        </is>
      </c>
      <c r="G13" s="4" t="inlineStr">
        <is>
          <t>Purchase commitments</t>
        </is>
      </c>
      <c r="H13" s="7" t="n">
        <v>28000</v>
      </c>
      <c r="I13" s="8">
        <f>H13/1000</f>
        <v/>
      </c>
      <c r="J13" s="4" t="inlineStr">
        <is>
          <t>derived</t>
        </is>
      </c>
      <c r="K13" s="9" t="inlineStr">
        <is>
          <t>Approximate: press describes the run from ~$28bn to $349.3bn over the four quarters to 2026Q2.</t>
        </is>
      </c>
    </row>
    <row r="14">
      <c r="A14" s="4" t="inlineStr">
        <is>
          <t>META</t>
        </is>
      </c>
      <c r="B14" s="4" t="inlineStr">
        <is>
          <t>Meta Platforms, Inc.</t>
        </is>
      </c>
      <c r="C14" s="4" t="inlineStr">
        <is>
          <t>0001326801</t>
        </is>
      </c>
      <c r="D14" s="4" t="inlineStr">
        <is>
          <t>2025Q3</t>
        </is>
      </c>
      <c r="E14" s="4" t="inlineStr">
        <is>
          <t>2025-09-30</t>
        </is>
      </c>
      <c r="F14" s="4" t="inlineStr">
        <is>
          <t>purchase_commitments</t>
        </is>
      </c>
      <c r="G14" s="4" t="inlineStr">
        <is>
          <t>Purchase commitments</t>
        </is>
      </c>
      <c r="H14" s="7" t="n">
        <v>81190</v>
      </c>
      <c r="I14" s="8">
        <f>H14/1000</f>
        <v/>
      </c>
      <c r="J14" s="4" t="inlineStr">
        <is>
          <t>filing</t>
        </is>
      </c>
      <c r="K14" s="9" t="inlineStr">
        <is>
          <t>Mostly third-party cloud capacity arrangements.</t>
        </is>
      </c>
    </row>
    <row r="15">
      <c r="A15" s="4" t="inlineStr">
        <is>
          <t>META</t>
        </is>
      </c>
      <c r="B15" s="4" t="inlineStr">
        <is>
          <t>Meta Platforms, Inc.</t>
        </is>
      </c>
      <c r="C15" s="4" t="inlineStr">
        <is>
          <t>0001326801</t>
        </is>
      </c>
      <c r="D15" s="4" t="inlineStr">
        <is>
          <t>2025Q4</t>
        </is>
      </c>
      <c r="E15" s="4" t="inlineStr">
        <is>
          <t>2025-12-31</t>
        </is>
      </c>
      <c r="F15" s="4" t="inlineStr">
        <is>
          <t>purchase_commitments</t>
        </is>
      </c>
      <c r="G15" s="4" t="inlineStr">
        <is>
          <t>Purchase commitments</t>
        </is>
      </c>
      <c r="H15" s="7" t="n">
        <v>131050</v>
      </c>
      <c r="I15" s="8">
        <f>H15/1000</f>
        <v/>
      </c>
      <c r="J15" s="4" t="inlineStr">
        <is>
          <t>filing</t>
        </is>
      </c>
      <c r="K15" s="9" t="inlineStr">
        <is>
          <t>$30.63bn due in 2026.</t>
        </is>
      </c>
    </row>
    <row r="16">
      <c r="A16" s="4" t="inlineStr">
        <is>
          <t>META</t>
        </is>
      </c>
      <c r="B16" s="4" t="inlineStr">
        <is>
          <t>Meta Platforms, Inc.</t>
        </is>
      </c>
      <c r="C16" s="4" t="inlineStr">
        <is>
          <t>0001326801</t>
        </is>
      </c>
      <c r="D16" s="4" t="inlineStr">
        <is>
          <t>2026Q1</t>
        </is>
      </c>
      <c r="E16" s="4" t="inlineStr">
        <is>
          <t>2026-03-31</t>
        </is>
      </c>
      <c r="F16" s="4" t="inlineStr">
        <is>
          <t>purchase_commitments</t>
        </is>
      </c>
      <c r="G16" s="4" t="inlineStr">
        <is>
          <t>Purchase commitments</t>
        </is>
      </c>
      <c r="H16" s="7" t="n">
        <v>237670</v>
      </c>
      <c r="I16" s="8">
        <f>H16/1000</f>
        <v/>
      </c>
      <c r="J16" s="4" t="inlineStr">
        <is>
          <t>filing</t>
        </is>
      </c>
      <c r="K16" s="9" t="inlineStr">
        <is>
          <t>Matches the Morgan Stanley 1Q26 chart ($238bn).</t>
        </is>
      </c>
    </row>
    <row r="17">
      <c r="A17" s="4" t="inlineStr">
        <is>
          <t>META</t>
        </is>
      </c>
      <c r="B17" s="4" t="inlineStr">
        <is>
          <t>Meta Platforms, Inc.</t>
        </is>
      </c>
      <c r="C17" s="4" t="inlineStr">
        <is>
          <t>0001326801</t>
        </is>
      </c>
      <c r="D17" s="4" t="inlineStr">
        <is>
          <t>2026Q2</t>
        </is>
      </c>
      <c r="E17" s="4" t="inlineStr">
        <is>
          <t>2026-06-30</t>
        </is>
      </c>
      <c r="F17" s="4" t="inlineStr">
        <is>
          <t>purchase_commitments</t>
        </is>
      </c>
      <c r="G17" s="4" t="inlineStr">
        <is>
          <t>Purchase commitments</t>
        </is>
      </c>
      <c r="H17" s="7" t="n">
        <v>349310</v>
      </c>
      <c r="I17" s="8">
        <f>H17/1000</f>
        <v/>
      </c>
      <c r="J17" s="4" t="inlineStr">
        <is>
          <t>filing</t>
        </is>
      </c>
      <c r="K17" s="9" t="inlineStr">
        <is>
          <t>Multi-year cloud deals drove a ~$112bn step up in the quarter.</t>
        </is>
      </c>
    </row>
    <row r="18">
      <c r="A18" s="4" t="inlineStr">
        <is>
          <t>AMZN</t>
        </is>
      </c>
      <c r="B18" s="4" t="inlineStr">
        <is>
          <t>Amazon.com, Inc.</t>
        </is>
      </c>
      <c r="C18" s="4" t="inlineStr">
        <is>
          <t>0001018724</t>
        </is>
      </c>
      <c r="D18" s="4" t="inlineStr">
        <is>
          <t>2024Q4</t>
        </is>
      </c>
      <c r="E18" s="4" t="inlineStr">
        <is>
          <t>2024-12-31</t>
        </is>
      </c>
      <c r="F18" s="4" t="inlineStr">
        <is>
          <t>purchase_commitments</t>
        </is>
      </c>
      <c r="G18" s="4" t="inlineStr">
        <is>
          <t>Purchase commitments</t>
        </is>
      </c>
      <c r="H18" s="7" t="n">
        <v>50375</v>
      </c>
      <c r="I18" s="8">
        <f>H18/1000</f>
        <v/>
      </c>
      <c r="J18" s="4" t="inlineStr">
        <is>
          <t>filing_table</t>
        </is>
      </c>
      <c r="K18" s="9" t="inlineStr">
        <is>
          <t>Unconditional purchase obligations.</t>
        </is>
      </c>
    </row>
    <row r="19">
      <c r="A19" s="4" t="inlineStr">
        <is>
          <t>AMZN</t>
        </is>
      </c>
      <c r="B19" s="4" t="inlineStr">
        <is>
          <t>Amazon.com, Inc.</t>
        </is>
      </c>
      <c r="C19" s="4" t="inlineStr">
        <is>
          <t>0001018724</t>
        </is>
      </c>
      <c r="D19" s="4" t="inlineStr">
        <is>
          <t>2025Q2</t>
        </is>
      </c>
      <c r="E19" s="4" t="inlineStr">
        <is>
          <t>2025-06-30</t>
        </is>
      </c>
      <c r="F19" s="4" t="inlineStr">
        <is>
          <t>purchase_commitments</t>
        </is>
      </c>
      <c r="G19" s="4" t="inlineStr">
        <is>
          <t>Purchase commitments</t>
        </is>
      </c>
      <c r="H19" s="7" t="n">
        <v>71018</v>
      </c>
      <c r="I19" s="8">
        <f>H19/1000</f>
        <v/>
      </c>
      <c r="J19" s="4" t="inlineStr">
        <is>
          <t>filing_table</t>
        </is>
      </c>
      <c r="K19" s="9" t="inlineStr">
        <is>
          <t>Unconditional purchase obligations.</t>
        </is>
      </c>
    </row>
    <row r="20">
      <c r="A20" s="4" t="inlineStr">
        <is>
          <t>AMZN</t>
        </is>
      </c>
      <c r="B20" s="4" t="inlineStr">
        <is>
          <t>Amazon.com, Inc.</t>
        </is>
      </c>
      <c r="C20" s="4" t="inlineStr">
        <is>
          <t>0001018724</t>
        </is>
      </c>
      <c r="D20" s="4" t="inlineStr">
        <is>
          <t>2025Q4</t>
        </is>
      </c>
      <c r="E20" s="4" t="inlineStr">
        <is>
          <t>2025-12-31</t>
        </is>
      </c>
      <c r="F20" s="4" t="inlineStr">
        <is>
          <t>purchase_commitments</t>
        </is>
      </c>
      <c r="G20" s="4" t="inlineStr">
        <is>
          <t>Purchase commitments</t>
        </is>
      </c>
      <c r="H20" s="7" t="n">
        <v>84772</v>
      </c>
      <c r="I20" s="8">
        <f>H20/1000</f>
        <v/>
      </c>
      <c r="J20" s="4" t="inlineStr">
        <is>
          <t>filing_table</t>
        </is>
      </c>
      <c r="K20" s="9" t="inlineStr">
        <is>
          <t>Maturity rows sum to the total.</t>
        </is>
      </c>
    </row>
    <row r="21">
      <c r="A21" s="4" t="inlineStr">
        <is>
          <t>AMZN</t>
        </is>
      </c>
      <c r="B21" s="4" t="inlineStr">
        <is>
          <t>Amazon.com, Inc.</t>
        </is>
      </c>
      <c r="C21" s="4" t="inlineStr">
        <is>
          <t>0001018724</t>
        </is>
      </c>
      <c r="D21" s="4" t="inlineStr">
        <is>
          <t>2026Q1</t>
        </is>
      </c>
      <c r="E21" s="4" t="inlineStr">
        <is>
          <t>2026-03-31</t>
        </is>
      </c>
      <c r="F21" s="4" t="inlineStr">
        <is>
          <t>purchase_commitments</t>
        </is>
      </c>
      <c r="G21" s="4" t="inlineStr">
        <is>
          <t>Purchase commitments</t>
        </is>
      </c>
      <c r="H21" s="7" t="n">
        <v>103768</v>
      </c>
      <c r="I21" s="8">
        <f>H21/1000</f>
        <v/>
      </c>
      <c r="J21" s="4" t="inlineStr">
        <is>
          <t>filing_table</t>
        </is>
      </c>
      <c r="K21" s="9" t="inlineStr">
        <is>
          <t>Maturity rows sum to the total. Matches the Morgan Stanley 1Q26 chart ($104bn). A further $18.81bn of 'other commitments' is disclosed separately.</t>
        </is>
      </c>
    </row>
    <row r="22">
      <c r="A22" s="4" t="inlineStr">
        <is>
          <t>NVDA</t>
        </is>
      </c>
      <c r="B22" s="4" t="inlineStr">
        <is>
          <t>NVIDIA Corporation</t>
        </is>
      </c>
      <c r="C22" s="4" t="inlineStr">
        <is>
          <t>0001045810</t>
        </is>
      </c>
      <c r="D22" s="4" t="inlineStr">
        <is>
          <t>2025Q1</t>
        </is>
      </c>
      <c r="E22" s="4" t="inlineStr">
        <is>
          <t>2025-04-27</t>
        </is>
      </c>
      <c r="F22" s="4" t="inlineStr">
        <is>
          <t>purchase_commitments</t>
        </is>
      </c>
      <c r="G22" s="4" t="inlineStr">
        <is>
          <t>Purchase commitments</t>
        </is>
      </c>
      <c r="H22" s="7" t="n">
        <v>43500</v>
      </c>
      <c r="I22" s="8">
        <f>H22/1000</f>
        <v/>
      </c>
      <c r="J22" s="4" t="inlineStr">
        <is>
          <t>filing</t>
        </is>
      </c>
      <c r="K22" s="9" t="inlineStr">
        <is>
          <t>$29.8bn inventory/supply + $13.7bn other purchase obligations (of which $10.6bn multi-year cloud).</t>
        </is>
      </c>
    </row>
    <row r="23">
      <c r="A23" s="4" t="inlineStr">
        <is>
          <t>NVDA</t>
        </is>
      </c>
      <c r="B23" s="4" t="inlineStr">
        <is>
          <t>NVIDIA Corporation</t>
        </is>
      </c>
      <c r="C23" s="4" t="inlineStr">
        <is>
          <t>0001045810</t>
        </is>
      </c>
      <c r="D23" s="4" t="inlineStr">
        <is>
          <t>2025Q4</t>
        </is>
      </c>
      <c r="E23" s="4" t="inlineStr">
        <is>
          <t>2026-01-25</t>
        </is>
      </c>
      <c r="F23" s="4" t="inlineStr">
        <is>
          <t>purchase_commitments</t>
        </is>
      </c>
      <c r="G23" s="4" t="inlineStr">
        <is>
          <t>Purchase commitments</t>
        </is>
      </c>
      <c r="H23" s="7" t="n">
        <v>95200</v>
      </c>
      <c r="I23" s="8">
        <f>H23/1000</f>
        <v/>
      </c>
      <c r="J23" s="4" t="inlineStr">
        <is>
          <t>filing</t>
        </is>
      </c>
      <c r="K23" s="9" t="inlineStr">
        <is>
          <t>FY2026 10-K. Inventory purchase and long-term supply/capacity obligations; excludes other purchase obligations, so understates the comparable total.</t>
        </is>
      </c>
    </row>
    <row r="24">
      <c r="A24" s="4" t="inlineStr">
        <is>
          <t>NVDA</t>
        </is>
      </c>
      <c r="B24" s="4" t="inlineStr">
        <is>
          <t>NVIDIA Corporation</t>
        </is>
      </c>
      <c r="C24" s="4" t="inlineStr">
        <is>
          <t>0001045810</t>
        </is>
      </c>
      <c r="D24" s="4" t="inlineStr">
        <is>
          <t>2026Q1</t>
        </is>
      </c>
      <c r="E24" s="4" t="inlineStr">
        <is>
          <t>2026-04-26</t>
        </is>
      </c>
      <c r="F24" s="4" t="inlineStr">
        <is>
          <t>purchase_commitments</t>
        </is>
      </c>
      <c r="G24" s="4" t="inlineStr">
        <is>
          <t>Purchase commitments</t>
        </is>
      </c>
      <c r="H24" s="7" t="n">
        <v>119000</v>
      </c>
      <c r="I24" s="8">
        <f>H24/1000</f>
        <v/>
      </c>
      <c r="J24" s="4" t="inlineStr">
        <is>
          <t>filing</t>
        </is>
      </c>
      <c r="K24" s="9" t="inlineStr">
        <is>
          <t>Purchase commitments and supply obligations; $95bn payable in the remainder of fiscal 2027.</t>
        </is>
      </c>
    </row>
    <row r="25">
      <c r="A25" s="4" t="inlineStr">
        <is>
          <t>NVDA</t>
        </is>
      </c>
      <c r="B25" s="4" t="inlineStr">
        <is>
          <t>NVIDIA Corporation</t>
        </is>
      </c>
      <c r="C25" s="4" t="inlineStr">
        <is>
          <t>0001045810</t>
        </is>
      </c>
      <c r="D25" s="4" t="inlineStr">
        <is>
          <t>2026Q2</t>
        </is>
      </c>
      <c r="E25" s="4" t="inlineStr">
        <is>
          <t>2026-07-26</t>
        </is>
      </c>
      <c r="F25" s="4" t="inlineStr">
        <is>
          <t>purchase_commitments</t>
        </is>
      </c>
      <c r="G25" s="4" t="inlineStr">
        <is>
          <t>Purchase commitments</t>
        </is>
      </c>
      <c r="H25" s="7" t="n">
        <v>279000</v>
      </c>
      <c r="I25" s="8">
        <f>H25/1000</f>
        <v/>
      </c>
      <c r="J25" s="4" t="inlineStr">
        <is>
          <t>filing</t>
        </is>
      </c>
      <c r="K25" s="9" t="inlineStr">
        <is>
          <t>Supply and capacity commitments, driven by memory procurement. Cloud service agreements of $29bn are disclosed separately.</t>
        </is>
      </c>
    </row>
    <row r="26">
      <c r="A26" s="4" t="inlineStr">
        <is>
          <t>ORCL</t>
        </is>
      </c>
      <c r="B26" s="4" t="inlineStr">
        <is>
          <t>Oracle Corporation</t>
        </is>
      </c>
      <c r="C26" s="4" t="inlineStr">
        <is>
          <t>0001341439</t>
        </is>
      </c>
      <c r="D26" s="4" t="inlineStr">
        <is>
          <t>2025Q4</t>
        </is>
      </c>
      <c r="E26" s="4" t="inlineStr">
        <is>
          <t>2025-11-30</t>
        </is>
      </c>
      <c r="F26" s="4" t="inlineStr">
        <is>
          <t>purchase_commitments</t>
        </is>
      </c>
      <c r="G26" s="4" t="inlineStr">
        <is>
          <t>Purchase commitments</t>
        </is>
      </c>
      <c r="H26" s="7" t="n">
        <v>10000</v>
      </c>
      <c r="I26" s="8">
        <f>H26/1000</f>
        <v/>
      </c>
      <c r="J26" s="4" t="inlineStr">
        <is>
          <t>filing</t>
        </is>
      </c>
      <c r="K26" s="9" t="inlineStr">
        <is>
          <t>Unconditional purchase and certain other obligations, primarily cloud capacity.</t>
        </is>
      </c>
    </row>
    <row r="27">
      <c r="A27" s="4" t="inlineStr">
        <is>
          <t>ORCL</t>
        </is>
      </c>
      <c r="B27" s="4" t="inlineStr">
        <is>
          <t>Oracle Corporation</t>
        </is>
      </c>
      <c r="C27" s="4" t="inlineStr">
        <is>
          <t>0001341439</t>
        </is>
      </c>
      <c r="D27" s="4" t="inlineStr">
        <is>
          <t>2026Q1</t>
        </is>
      </c>
      <c r="E27" s="4" t="inlineStr">
        <is>
          <t>2026-02-28</t>
        </is>
      </c>
      <c r="F27" s="4" t="inlineStr">
        <is>
          <t>purchase_commitments</t>
        </is>
      </c>
      <c r="G27" s="4" t="inlineStr">
        <is>
          <t>Purchase commitments</t>
        </is>
      </c>
      <c r="H27" s="7" t="n">
        <v>11000</v>
      </c>
      <c r="I27" s="8">
        <f>H27/1000</f>
        <v/>
      </c>
      <c r="J27" s="4" t="inlineStr">
        <is>
          <t>press</t>
        </is>
      </c>
      <c r="K27" s="9" t="inlineStr">
        <is>
          <t>Morgan Stanley 1Q26 chart ($11bn); the filing states the obligations relate primarily to data-centre power but the amount was not re-read.</t>
        </is>
      </c>
    </row>
    <row r="28">
      <c r="A28" s="4" t="inlineStr">
        <is>
          <t>ORCL</t>
        </is>
      </c>
      <c r="B28" s="4" t="inlineStr">
        <is>
          <t>Oracle Corporation</t>
        </is>
      </c>
      <c r="C28" s="4" t="inlineStr">
        <is>
          <t>0001341439</t>
        </is>
      </c>
      <c r="D28" s="4" t="inlineStr">
        <is>
          <t>2026Q2</t>
        </is>
      </c>
      <c r="E28" s="4" t="inlineStr">
        <is>
          <t>2026-05-31</t>
        </is>
      </c>
      <c r="F28" s="4" t="inlineStr">
        <is>
          <t>purchase_commitments</t>
        </is>
      </c>
      <c r="G28" s="4" t="inlineStr">
        <is>
          <t>Purchase commitments</t>
        </is>
      </c>
      <c r="H28" s="7" t="n">
        <v>13309</v>
      </c>
      <c r="I28" s="8">
        <f>H28/1000</f>
        <v/>
      </c>
      <c r="J28" s="4" t="inlineStr">
        <is>
          <t>filing</t>
        </is>
      </c>
      <c r="K28" s="9" t="inlineStr">
        <is>
          <t>FY2026 10-K; primarily data-centre power arrangements.</t>
        </is>
      </c>
    </row>
    <row r="29">
      <c r="A29" s="4" t="inlineStr">
        <is>
          <t>GOOGL</t>
        </is>
      </c>
      <c r="B29" s="4" t="inlineStr">
        <is>
          <t>Alphabet Inc.</t>
        </is>
      </c>
      <c r="C29" s="4" t="inlineStr">
        <is>
          <t>0001652044</t>
        </is>
      </c>
      <c r="D29" s="4" t="inlineStr">
        <is>
          <t>2025Q1</t>
        </is>
      </c>
      <c r="E29" s="4" t="inlineStr">
        <is>
          <t>2025-03-31</t>
        </is>
      </c>
      <c r="F29" s="4" t="inlineStr">
        <is>
          <t>uncommenced_leases</t>
        </is>
      </c>
      <c r="G29" s="4" t="inlineStr">
        <is>
          <t>Uncommenced lease commitments</t>
        </is>
      </c>
      <c r="H29" s="7" t="n">
        <v>17300</v>
      </c>
      <c r="I29" s="8">
        <f>H29/1000</f>
        <v/>
      </c>
      <c r="J29" s="4" t="inlineStr">
        <is>
          <t>filing</t>
        </is>
      </c>
      <c r="K29" s="9" t="inlineStr">
        <is>
          <t>Data-centre leases not yet commenced; future lease payments not yet recorded.</t>
        </is>
      </c>
    </row>
    <row r="30">
      <c r="A30" s="4" t="inlineStr">
        <is>
          <t>GOOGL</t>
        </is>
      </c>
      <c r="B30" s="4" t="inlineStr">
        <is>
          <t>Alphabet Inc.</t>
        </is>
      </c>
      <c r="C30" s="4" t="inlineStr">
        <is>
          <t>0001652044</t>
        </is>
      </c>
      <c r="D30" s="4" t="inlineStr">
        <is>
          <t>2025Q2</t>
        </is>
      </c>
      <c r="E30" s="4" t="inlineStr">
        <is>
          <t>2025-06-30</t>
        </is>
      </c>
      <c r="F30" s="4" t="inlineStr">
        <is>
          <t>uncommenced_leases</t>
        </is>
      </c>
      <c r="G30" s="4" t="inlineStr">
        <is>
          <t>Uncommenced lease commitments</t>
        </is>
      </c>
      <c r="H30" s="7" t="n">
        <v>23900</v>
      </c>
      <c r="I30" s="8">
        <f>H30/1000</f>
        <v/>
      </c>
      <c r="J30" s="4" t="inlineStr">
        <is>
          <t>filing</t>
        </is>
      </c>
      <c r="K30" s="9" t="inlineStr">
        <is>
          <t>Commence 2025-2031, terms 1-25 years.</t>
        </is>
      </c>
    </row>
    <row r="31">
      <c r="A31" s="4" t="inlineStr">
        <is>
          <t>GOOGL</t>
        </is>
      </c>
      <c r="B31" s="4" t="inlineStr">
        <is>
          <t>Alphabet Inc.</t>
        </is>
      </c>
      <c r="C31" s="4" t="inlineStr">
        <is>
          <t>0001652044</t>
        </is>
      </c>
      <c r="D31" s="4" t="inlineStr">
        <is>
          <t>2025Q3</t>
        </is>
      </c>
      <c r="E31" s="4" t="inlineStr">
        <is>
          <t>2025-09-30</t>
        </is>
      </c>
      <c r="F31" s="4" t="inlineStr">
        <is>
          <t>uncommenced_leases</t>
        </is>
      </c>
      <c r="G31" s="4" t="inlineStr">
        <is>
          <t>Uncommenced lease commitments</t>
        </is>
      </c>
      <c r="H31" s="7" t="n">
        <v>42600</v>
      </c>
      <c r="I31" s="8">
        <f>H31/1000</f>
        <v/>
      </c>
      <c r="J31" s="4" t="inlineStr">
        <is>
          <t>filing</t>
        </is>
      </c>
      <c r="K31" s="9" t="inlineStr">
        <is>
          <t>Includes a purchase option considered reasonably certain to be exercised.</t>
        </is>
      </c>
    </row>
    <row r="32">
      <c r="A32" s="4" t="inlineStr">
        <is>
          <t>GOOGL</t>
        </is>
      </c>
      <c r="B32" s="4" t="inlineStr">
        <is>
          <t>Alphabet Inc.</t>
        </is>
      </c>
      <c r="C32" s="4" t="inlineStr">
        <is>
          <t>0001652044</t>
        </is>
      </c>
      <c r="D32" s="4" t="inlineStr">
        <is>
          <t>2025Q4</t>
        </is>
      </c>
      <c r="E32" s="4" t="inlineStr">
        <is>
          <t>2025-12-31</t>
        </is>
      </c>
      <c r="F32" s="4" t="inlineStr">
        <is>
          <t>uncommenced_leases</t>
        </is>
      </c>
      <c r="G32" s="4" t="inlineStr">
        <is>
          <t>Uncommenced lease commitments</t>
        </is>
      </c>
      <c r="H32" s="7" t="n">
        <v>58500</v>
      </c>
      <c r="I32" s="8">
        <f>H32/1000</f>
        <v/>
      </c>
      <c r="J32" s="4" t="inlineStr">
        <is>
          <t>filing</t>
        </is>
      </c>
      <c r="K32" s="9" t="inlineStr">
        <is>
          <t>$5.8bn short-term + $52.7bn long-term.</t>
        </is>
      </c>
    </row>
    <row r="33">
      <c r="A33" s="4" t="inlineStr">
        <is>
          <t>GOOGL</t>
        </is>
      </c>
      <c r="B33" s="4" t="inlineStr">
        <is>
          <t>Alphabet Inc.</t>
        </is>
      </c>
      <c r="C33" s="4" t="inlineStr">
        <is>
          <t>0001652044</t>
        </is>
      </c>
      <c r="D33" s="4" t="inlineStr">
        <is>
          <t>2026Q1</t>
        </is>
      </c>
      <c r="E33" s="4" t="inlineStr">
        <is>
          <t>2026-03-31</t>
        </is>
      </c>
      <c r="F33" s="4" t="inlineStr">
        <is>
          <t>uncommenced_leases</t>
        </is>
      </c>
      <c r="G33" s="4" t="inlineStr">
        <is>
          <t>Uncommenced lease commitments</t>
        </is>
      </c>
      <c r="H33" s="7" t="n">
        <v>75600</v>
      </c>
      <c r="I33" s="8">
        <f>H33/1000</f>
        <v/>
      </c>
      <c r="J33" s="4" t="inlineStr">
        <is>
          <t>filing</t>
        </is>
      </c>
      <c r="K33" s="9" t="inlineStr">
        <is>
          <t>Commence 2026-2031, terms 1-25 years.</t>
        </is>
      </c>
    </row>
    <row r="34">
      <c r="A34" s="4" t="inlineStr">
        <is>
          <t>GOOGL</t>
        </is>
      </c>
      <c r="B34" s="4" t="inlineStr">
        <is>
          <t>Alphabet Inc.</t>
        </is>
      </c>
      <c r="C34" s="4" t="inlineStr">
        <is>
          <t>0001652044</t>
        </is>
      </c>
      <c r="D34" s="4" t="inlineStr">
        <is>
          <t>2026Q2</t>
        </is>
      </c>
      <c r="E34" s="4" t="inlineStr">
        <is>
          <t>2026-06-30</t>
        </is>
      </c>
      <c r="F34" s="4" t="inlineStr">
        <is>
          <t>uncommenced_leases</t>
        </is>
      </c>
      <c r="G34" s="4" t="inlineStr">
        <is>
          <t>Uncommenced lease commitments</t>
        </is>
      </c>
      <c r="H34" s="7" t="n">
        <v>85200</v>
      </c>
      <c r="I34" s="8">
        <f>H34/1000</f>
        <v/>
      </c>
      <c r="J34" s="4" t="inlineStr">
        <is>
          <t>filing</t>
        </is>
      </c>
      <c r="K34" s="9" t="inlineStr"/>
    </row>
    <row r="35">
      <c r="A35" s="4" t="inlineStr">
        <is>
          <t>MSFT</t>
        </is>
      </c>
      <c r="B35" s="4" t="inlineStr">
        <is>
          <t>Microsoft Corporation</t>
        </is>
      </c>
      <c r="C35" s="4" t="inlineStr">
        <is>
          <t>0000789019</t>
        </is>
      </c>
      <c r="D35" s="4" t="inlineStr">
        <is>
          <t>2023Q3</t>
        </is>
      </c>
      <c r="E35" s="4" t="inlineStr">
        <is>
          <t>2023-09-30</t>
        </is>
      </c>
      <c r="F35" s="4" t="inlineStr">
        <is>
          <t>uncommenced_leases</t>
        </is>
      </c>
      <c r="G35" s="4" t="inlineStr">
        <is>
          <t>Uncommenced lease commitments</t>
        </is>
      </c>
      <c r="H35" s="7" t="n">
        <v>82600</v>
      </c>
      <c r="I35" s="8">
        <f>H35/1000</f>
        <v/>
      </c>
      <c r="J35" s="4" t="inlineStr">
        <is>
          <t>filing</t>
        </is>
      </c>
      <c r="K35" s="9" t="inlineStr">
        <is>
          <t>$7.5bn operating + $75.1bn finance.</t>
        </is>
      </c>
    </row>
    <row r="36">
      <c r="A36" s="4" t="inlineStr">
        <is>
          <t>MSFT</t>
        </is>
      </c>
      <c r="B36" s="4" t="inlineStr">
        <is>
          <t>Microsoft Corporation</t>
        </is>
      </c>
      <c r="C36" s="4" t="inlineStr">
        <is>
          <t>0000789019</t>
        </is>
      </c>
      <c r="D36" s="4" t="inlineStr">
        <is>
          <t>2024Q1</t>
        </is>
      </c>
      <c r="E36" s="4" t="inlineStr">
        <is>
          <t>2024-03-31</t>
        </is>
      </c>
      <c r="F36" s="4" t="inlineStr">
        <is>
          <t>uncommenced_leases</t>
        </is>
      </c>
      <c r="G36" s="4" t="inlineStr">
        <is>
          <t>Uncommenced lease commitments</t>
        </is>
      </c>
      <c r="H36" s="7" t="n">
        <v>96200</v>
      </c>
      <c r="I36" s="8">
        <f>H36/1000</f>
        <v/>
      </c>
      <c r="J36" s="4" t="inlineStr">
        <is>
          <t>filing</t>
        </is>
      </c>
      <c r="K36" s="9" t="inlineStr">
        <is>
          <t>$8.4bn operating + $87.8bn finance.</t>
        </is>
      </c>
    </row>
    <row r="37">
      <c r="A37" s="4" t="inlineStr">
        <is>
          <t>MSFT</t>
        </is>
      </c>
      <c r="B37" s="4" t="inlineStr">
        <is>
          <t>Microsoft Corporation</t>
        </is>
      </c>
      <c r="C37" s="4" t="inlineStr">
        <is>
          <t>0000789019</t>
        </is>
      </c>
      <c r="D37" s="4" t="inlineStr">
        <is>
          <t>2024Q2</t>
        </is>
      </c>
      <c r="E37" s="4" t="inlineStr">
        <is>
          <t>2024-06-30</t>
        </is>
      </c>
      <c r="F37" s="4" t="inlineStr">
        <is>
          <t>uncommenced_leases</t>
        </is>
      </c>
      <c r="G37" s="4" t="inlineStr">
        <is>
          <t>Uncommenced lease commitments</t>
        </is>
      </c>
      <c r="H37" s="7" t="n">
        <v>117000</v>
      </c>
      <c r="I37" s="8">
        <f>H37/1000</f>
        <v/>
      </c>
      <c r="J37" s="4" t="inlineStr">
        <is>
          <t>filing</t>
        </is>
      </c>
      <c r="K37" s="9" t="inlineStr">
        <is>
          <t>$8.6bn operating + $108.4bn finance. FY2024 10-K.</t>
        </is>
      </c>
    </row>
    <row r="38">
      <c r="A38" s="4" t="inlineStr">
        <is>
          <t>MSFT</t>
        </is>
      </c>
      <c r="B38" s="4" t="inlineStr">
        <is>
          <t>Microsoft Corporation</t>
        </is>
      </c>
      <c r="C38" s="4" t="inlineStr">
        <is>
          <t>0000789019</t>
        </is>
      </c>
      <c r="D38" s="4" t="inlineStr">
        <is>
          <t>2024Q3</t>
        </is>
      </c>
      <c r="E38" s="4" t="inlineStr">
        <is>
          <t>2024-09-30</t>
        </is>
      </c>
      <c r="F38" s="4" t="inlineStr">
        <is>
          <t>uncommenced_leases</t>
        </is>
      </c>
      <c r="G38" s="4" t="inlineStr">
        <is>
          <t>Uncommenced lease commitments</t>
        </is>
      </c>
      <c r="H38" s="7" t="n">
        <v>116100</v>
      </c>
      <c r="I38" s="8">
        <f>H38/1000</f>
        <v/>
      </c>
      <c r="J38" s="4" t="inlineStr">
        <is>
          <t>filing</t>
        </is>
      </c>
      <c r="K38" s="9" t="inlineStr">
        <is>
          <t>$7.4bn operating + $108.7bn finance.</t>
        </is>
      </c>
    </row>
    <row r="39">
      <c r="A39" s="4" t="inlineStr">
        <is>
          <t>MSFT</t>
        </is>
      </c>
      <c r="B39" s="4" t="inlineStr">
        <is>
          <t>Microsoft Corporation</t>
        </is>
      </c>
      <c r="C39" s="4" t="inlineStr">
        <is>
          <t>0000789019</t>
        </is>
      </c>
      <c r="D39" s="4" t="inlineStr">
        <is>
          <t>2025Q1</t>
        </is>
      </c>
      <c r="E39" s="4" t="inlineStr">
        <is>
          <t>2025-03-31</t>
        </is>
      </c>
      <c r="F39" s="4" t="inlineStr">
        <is>
          <t>uncommenced_leases</t>
        </is>
      </c>
      <c r="G39" s="4" t="inlineStr">
        <is>
          <t>Uncommenced lease commitments</t>
        </is>
      </c>
      <c r="H39" s="7" t="n">
        <v>99200</v>
      </c>
      <c r="I39" s="8">
        <f>H39/1000</f>
        <v/>
      </c>
      <c r="J39" s="4" t="inlineStr">
        <is>
          <t>filing</t>
        </is>
      </c>
      <c r="K39" s="9" t="inlineStr">
        <is>
          <t>$4.4bn operating + $94.8bn finance.</t>
        </is>
      </c>
    </row>
    <row r="40">
      <c r="A40" s="4" t="inlineStr">
        <is>
          <t>MSFT</t>
        </is>
      </c>
      <c r="B40" s="4" t="inlineStr">
        <is>
          <t>Microsoft Corporation</t>
        </is>
      </c>
      <c r="C40" s="4" t="inlineStr">
        <is>
          <t>0000789019</t>
        </is>
      </c>
      <c r="D40" s="4" t="inlineStr">
        <is>
          <t>2025Q2</t>
        </is>
      </c>
      <c r="E40" s="4" t="inlineStr">
        <is>
          <t>2025-06-30</t>
        </is>
      </c>
      <c r="F40" s="4" t="inlineStr">
        <is>
          <t>uncommenced_leases</t>
        </is>
      </c>
      <c r="G40" s="4" t="inlineStr">
        <is>
          <t>Uncommenced lease commitments</t>
        </is>
      </c>
      <c r="H40" s="7" t="n">
        <v>92700</v>
      </c>
      <c r="I40" s="8">
        <f>H40/1000</f>
        <v/>
      </c>
      <c r="J40" s="4" t="inlineStr">
        <is>
          <t>filing</t>
        </is>
      </c>
      <c r="K40" s="9" t="inlineStr">
        <is>
          <t>FY2025 10-K. Terms running to fiscal 2031.</t>
        </is>
      </c>
    </row>
    <row r="41">
      <c r="A41" s="4" t="inlineStr">
        <is>
          <t>MSFT</t>
        </is>
      </c>
      <c r="B41" s="4" t="inlineStr">
        <is>
          <t>Microsoft Corporation</t>
        </is>
      </c>
      <c r="C41" s="4" t="inlineStr">
        <is>
          <t>0000789019</t>
        </is>
      </c>
      <c r="D41" s="4" t="inlineStr">
        <is>
          <t>2025Q3</t>
        </is>
      </c>
      <c r="E41" s="4" t="inlineStr">
        <is>
          <t>2025-09-30</t>
        </is>
      </c>
      <c r="F41" s="4" t="inlineStr">
        <is>
          <t>uncommenced_leases</t>
        </is>
      </c>
      <c r="G41" s="4" t="inlineStr">
        <is>
          <t>Uncommenced lease commitments</t>
        </is>
      </c>
      <c r="H41" s="7" t="n">
        <v>106200</v>
      </c>
      <c r="I41" s="8">
        <f>H41/1000</f>
        <v/>
      </c>
      <c r="J41" s="4" t="inlineStr">
        <is>
          <t>filing</t>
        </is>
      </c>
      <c r="K41" s="9" t="inlineStr">
        <is>
          <t>Commence fiscal 2026-2031, terms 1-20 years.</t>
        </is>
      </c>
    </row>
    <row r="42">
      <c r="A42" s="4" t="inlineStr">
        <is>
          <t>MSFT</t>
        </is>
      </c>
      <c r="B42" s="4" t="inlineStr">
        <is>
          <t>Microsoft Corporation</t>
        </is>
      </c>
      <c r="C42" s="4" t="inlineStr">
        <is>
          <t>0000789019</t>
        </is>
      </c>
      <c r="D42" s="4" t="inlineStr">
        <is>
          <t>2025Q4</t>
        </is>
      </c>
      <c r="E42" s="4" t="inlineStr">
        <is>
          <t>2025-12-31</t>
        </is>
      </c>
      <c r="F42" s="4" t="inlineStr">
        <is>
          <t>uncommenced_leases</t>
        </is>
      </c>
      <c r="G42" s="4" t="inlineStr">
        <is>
          <t>Uncommenced lease commitments</t>
        </is>
      </c>
      <c r="H42" s="7" t="n">
        <v>155100</v>
      </c>
      <c r="I42" s="8">
        <f>H42/1000</f>
        <v/>
      </c>
      <c r="J42" s="4" t="inlineStr">
        <is>
          <t>filing</t>
        </is>
      </c>
      <c r="K42" s="9" t="inlineStr">
        <is>
          <t>Commence fiscal 2026-2031.</t>
        </is>
      </c>
    </row>
    <row r="43">
      <c r="A43" s="4" t="inlineStr">
        <is>
          <t>MSFT</t>
        </is>
      </c>
      <c r="B43" s="4" t="inlineStr">
        <is>
          <t>Microsoft Corporation</t>
        </is>
      </c>
      <c r="C43" s="4" t="inlineStr">
        <is>
          <t>0000789019</t>
        </is>
      </c>
      <c r="D43" s="4" t="inlineStr">
        <is>
          <t>2026Q1</t>
        </is>
      </c>
      <c r="E43" s="4" t="inlineStr">
        <is>
          <t>2026-03-31</t>
        </is>
      </c>
      <c r="F43" s="4" t="inlineStr">
        <is>
          <t>uncommenced_leases</t>
        </is>
      </c>
      <c r="G43" s="4" t="inlineStr">
        <is>
          <t>Uncommenced lease commitments</t>
        </is>
      </c>
      <c r="H43" s="7" t="n">
        <v>196600</v>
      </c>
      <c r="I43" s="8">
        <f>H43/1000</f>
        <v/>
      </c>
      <c r="J43" s="4" t="inlineStr">
        <is>
          <t>filing</t>
        </is>
      </c>
      <c r="K43" s="9" t="inlineStr"/>
    </row>
    <row r="44">
      <c r="A44" s="4" t="inlineStr">
        <is>
          <t>MSFT</t>
        </is>
      </c>
      <c r="B44" s="4" t="inlineStr">
        <is>
          <t>Microsoft Corporation</t>
        </is>
      </c>
      <c r="C44" s="4" t="inlineStr">
        <is>
          <t>0000789019</t>
        </is>
      </c>
      <c r="D44" s="4" t="inlineStr">
        <is>
          <t>2026Q2</t>
        </is>
      </c>
      <c r="E44" s="4" t="inlineStr">
        <is>
          <t>2026-06-30</t>
        </is>
      </c>
      <c r="F44" s="4" t="inlineStr">
        <is>
          <t>uncommenced_leases</t>
        </is>
      </c>
      <c r="G44" s="4" t="inlineStr">
        <is>
          <t>Uncommenced lease commitments</t>
        </is>
      </c>
      <c r="H44" s="7" t="n">
        <v>329100</v>
      </c>
      <c r="I44" s="8">
        <f>H44/1000</f>
        <v/>
      </c>
      <c r="J44" s="4" t="inlineStr">
        <is>
          <t>filing</t>
        </is>
      </c>
      <c r="K44" s="9" t="inlineStr">
        <is>
          <t>FY2026 10-K. Up $132.5bn in one quarter; commence fiscal 2027-2033.</t>
        </is>
      </c>
    </row>
    <row r="45">
      <c r="A45" s="4" t="inlineStr">
        <is>
          <t>META</t>
        </is>
      </c>
      <c r="B45" s="4" t="inlineStr">
        <is>
          <t>Meta Platforms, Inc.</t>
        </is>
      </c>
      <c r="C45" s="4" t="inlineStr">
        <is>
          <t>0001326801</t>
        </is>
      </c>
      <c r="D45" s="4" t="inlineStr">
        <is>
          <t>2024Q3</t>
        </is>
      </c>
      <c r="E45" s="4" t="inlineStr">
        <is>
          <t>2024-09-30</t>
        </is>
      </c>
      <c r="F45" s="4" t="inlineStr">
        <is>
          <t>uncommenced_leases</t>
        </is>
      </c>
      <c r="G45" s="4" t="inlineStr">
        <is>
          <t>Uncommenced lease commitments</t>
        </is>
      </c>
      <c r="H45" s="7" t="n">
        <v>18490</v>
      </c>
      <c r="I45" s="8">
        <f>H45/1000</f>
        <v/>
      </c>
      <c r="J45" s="4" t="inlineStr">
        <is>
          <t>filing</t>
        </is>
      </c>
      <c r="K45" s="9" t="inlineStr">
        <is>
          <t>Mostly data centres and colocations.</t>
        </is>
      </c>
    </row>
    <row r="46">
      <c r="A46" s="4" t="inlineStr">
        <is>
          <t>META</t>
        </is>
      </c>
      <c r="B46" s="4" t="inlineStr">
        <is>
          <t>Meta Platforms, Inc.</t>
        </is>
      </c>
      <c r="C46" s="4" t="inlineStr">
        <is>
          <t>0001326801</t>
        </is>
      </c>
      <c r="D46" s="4" t="inlineStr">
        <is>
          <t>2025Q1</t>
        </is>
      </c>
      <c r="E46" s="4" t="inlineStr">
        <is>
          <t>2025-03-31</t>
        </is>
      </c>
      <c r="F46" s="4" t="inlineStr">
        <is>
          <t>uncommenced_leases</t>
        </is>
      </c>
      <c r="G46" s="4" t="inlineStr">
        <is>
          <t>Uncommenced lease commitments</t>
        </is>
      </c>
      <c r="H46" s="7" t="n">
        <v>35270</v>
      </c>
      <c r="I46" s="8">
        <f>H46/1000</f>
        <v/>
      </c>
      <c r="J46" s="4" t="inlineStr">
        <is>
          <t>filing</t>
        </is>
      </c>
      <c r="K46" s="9" t="inlineStr"/>
    </row>
    <row r="47">
      <c r="A47" s="4" t="inlineStr">
        <is>
          <t>META</t>
        </is>
      </c>
      <c r="B47" s="4" t="inlineStr">
        <is>
          <t>Meta Platforms, Inc.</t>
        </is>
      </c>
      <c r="C47" s="4" t="inlineStr">
        <is>
          <t>0001326801</t>
        </is>
      </c>
      <c r="D47" s="4" t="inlineStr">
        <is>
          <t>2025Q2</t>
        </is>
      </c>
      <c r="E47" s="4" t="inlineStr">
        <is>
          <t>2025-06-30</t>
        </is>
      </c>
      <c r="F47" s="4" t="inlineStr">
        <is>
          <t>uncommenced_leases</t>
        </is>
      </c>
      <c r="G47" s="4" t="inlineStr">
        <is>
          <t>Uncommenced lease commitments</t>
        </is>
      </c>
      <c r="H47" s="7" t="n">
        <v>52560</v>
      </c>
      <c r="I47" s="8">
        <f>H47/1000</f>
        <v/>
      </c>
      <c r="J47" s="4" t="inlineStr">
        <is>
          <t>filing</t>
        </is>
      </c>
      <c r="K47" s="9" t="inlineStr">
        <is>
          <t>Commence remainder of 2025 through 2034.</t>
        </is>
      </c>
    </row>
    <row r="48">
      <c r="A48" s="4" t="inlineStr">
        <is>
          <t>META</t>
        </is>
      </c>
      <c r="B48" s="4" t="inlineStr">
        <is>
          <t>Meta Platforms, Inc.</t>
        </is>
      </c>
      <c r="C48" s="4" t="inlineStr">
        <is>
          <t>0001326801</t>
        </is>
      </c>
      <c r="D48" s="4" t="inlineStr">
        <is>
          <t>2025Q3</t>
        </is>
      </c>
      <c r="E48" s="4" t="inlineStr">
        <is>
          <t>2025-09-30</t>
        </is>
      </c>
      <c r="F48" s="4" t="inlineStr">
        <is>
          <t>uncommenced_leases</t>
        </is>
      </c>
      <c r="G48" s="4" t="inlineStr">
        <is>
          <t>Uncommenced lease commitments</t>
        </is>
      </c>
      <c r="H48" s="7" t="n">
        <v>58140</v>
      </c>
      <c r="I48" s="8">
        <f>H48/1000</f>
        <v/>
      </c>
      <c r="J48" s="4" t="inlineStr">
        <is>
          <t>filing</t>
        </is>
      </c>
      <c r="K48" s="9" t="inlineStr"/>
    </row>
    <row r="49">
      <c r="A49" s="4" t="inlineStr">
        <is>
          <t>META</t>
        </is>
      </c>
      <c r="B49" s="4" t="inlineStr">
        <is>
          <t>Meta Platforms, Inc.</t>
        </is>
      </c>
      <c r="C49" s="4" t="inlineStr">
        <is>
          <t>0001326801</t>
        </is>
      </c>
      <c r="D49" s="4" t="inlineStr">
        <is>
          <t>2025Q4</t>
        </is>
      </c>
      <c r="E49" s="4" t="inlineStr">
        <is>
          <t>2025-12-31</t>
        </is>
      </c>
      <c r="F49" s="4" t="inlineStr">
        <is>
          <t>uncommenced_leases</t>
        </is>
      </c>
      <c r="G49" s="4" t="inlineStr">
        <is>
          <t>Uncommenced lease commitments</t>
        </is>
      </c>
      <c r="H49" s="7" t="n">
        <v>103770</v>
      </c>
      <c r="I49" s="8">
        <f>H49/1000</f>
        <v/>
      </c>
      <c r="J49" s="4" t="inlineStr">
        <is>
          <t>filing</t>
        </is>
      </c>
      <c r="K49" s="9" t="inlineStr">
        <is>
          <t>Commence 2026-2030, terms up to 30 years.</t>
        </is>
      </c>
    </row>
    <row r="50">
      <c r="A50" s="4" t="inlineStr">
        <is>
          <t>META</t>
        </is>
      </c>
      <c r="B50" s="4" t="inlineStr">
        <is>
          <t>Meta Platforms, Inc.</t>
        </is>
      </c>
      <c r="C50" s="4" t="inlineStr">
        <is>
          <t>0001326801</t>
        </is>
      </c>
      <c r="D50" s="4" t="inlineStr">
        <is>
          <t>2026Q1</t>
        </is>
      </c>
      <c r="E50" s="4" t="inlineStr">
        <is>
          <t>2026-03-31</t>
        </is>
      </c>
      <c r="F50" s="4" t="inlineStr">
        <is>
          <t>uncommenced_leases</t>
        </is>
      </c>
      <c r="G50" s="4" t="inlineStr">
        <is>
          <t>Uncommenced lease commitments</t>
        </is>
      </c>
      <c r="H50" s="7" t="n">
        <v>182880</v>
      </c>
      <c r="I50" s="8">
        <f>H50/1000</f>
        <v/>
      </c>
      <c r="J50" s="4" t="inlineStr">
        <is>
          <t>filing</t>
        </is>
      </c>
      <c r="K50" s="9" t="inlineStr">
        <is>
          <t>Corroborated by the reported 53% jump to $279bn the following quarter.</t>
        </is>
      </c>
    </row>
    <row r="51">
      <c r="A51" s="4" t="inlineStr">
        <is>
          <t>META</t>
        </is>
      </c>
      <c r="B51" s="4" t="inlineStr">
        <is>
          <t>Meta Platforms, Inc.</t>
        </is>
      </c>
      <c r="C51" s="4" t="inlineStr">
        <is>
          <t>0001326801</t>
        </is>
      </c>
      <c r="D51" s="4" t="inlineStr">
        <is>
          <t>2026Q2</t>
        </is>
      </c>
      <c r="E51" s="4" t="inlineStr">
        <is>
          <t>2026-06-30</t>
        </is>
      </c>
      <c r="F51" s="4" t="inlineStr">
        <is>
          <t>uncommenced_leases</t>
        </is>
      </c>
      <c r="G51" s="4" t="inlineStr">
        <is>
          <t>Uncommenced lease commitments</t>
        </is>
      </c>
      <c r="H51" s="7" t="n">
        <v>278990</v>
      </c>
      <c r="I51" s="8">
        <f>H51/1000</f>
        <v/>
      </c>
      <c r="J51" s="4" t="inlineStr">
        <is>
          <t>filing</t>
        </is>
      </c>
      <c r="K51" s="9" t="inlineStr">
        <is>
          <t>Commence remainder of 2026 through 2036. A further ~$68bn was signed in July, after the balance sheet date.</t>
        </is>
      </c>
    </row>
    <row r="52">
      <c r="A52" s="4" t="inlineStr">
        <is>
          <t>AMZN</t>
        </is>
      </c>
      <c r="B52" s="4" t="inlineStr">
        <is>
          <t>Amazon.com, Inc.</t>
        </is>
      </c>
      <c r="C52" s="4" t="inlineStr">
        <is>
          <t>0001018724</t>
        </is>
      </c>
      <c r="D52" s="4" t="inlineStr">
        <is>
          <t>2024Q4</t>
        </is>
      </c>
      <c r="E52" s="4" t="inlineStr">
        <is>
          <t>2024-12-31</t>
        </is>
      </c>
      <c r="F52" s="4" t="inlineStr">
        <is>
          <t>uncommenced_leases</t>
        </is>
      </c>
      <c r="G52" s="4" t="inlineStr">
        <is>
          <t>Uncommenced lease commitments</t>
        </is>
      </c>
      <c r="H52" s="7" t="n">
        <v>61627</v>
      </c>
      <c r="I52" s="8">
        <f>H52/1000</f>
        <v/>
      </c>
      <c r="J52" s="4" t="inlineStr">
        <is>
          <t>filing_table</t>
        </is>
      </c>
      <c r="K52" s="9" t="inlineStr"/>
    </row>
    <row r="53">
      <c r="A53" s="4" t="inlineStr">
        <is>
          <t>AMZN</t>
        </is>
      </c>
      <c r="B53" s="4" t="inlineStr">
        <is>
          <t>Amazon.com, Inc.</t>
        </is>
      </c>
      <c r="C53" s="4" t="inlineStr">
        <is>
          <t>0001018724</t>
        </is>
      </c>
      <c r="D53" s="4" t="inlineStr">
        <is>
          <t>2025Q2</t>
        </is>
      </c>
      <c r="E53" s="4" t="inlineStr">
        <is>
          <t>2025-06-30</t>
        </is>
      </c>
      <c r="F53" s="4" t="inlineStr">
        <is>
          <t>uncommenced_leases</t>
        </is>
      </c>
      <c r="G53" s="4" t="inlineStr">
        <is>
          <t>Uncommenced lease commitments</t>
        </is>
      </c>
      <c r="H53" s="7" t="n">
        <v>68884</v>
      </c>
      <c r="I53" s="8">
        <f>H53/1000</f>
        <v/>
      </c>
      <c r="J53" s="4" t="inlineStr">
        <is>
          <t>filing_table</t>
        </is>
      </c>
      <c r="K53" s="9" t="inlineStr"/>
    </row>
    <row r="54">
      <c r="A54" s="4" t="inlineStr">
        <is>
          <t>AMZN</t>
        </is>
      </c>
      <c r="B54" s="4" t="inlineStr">
        <is>
          <t>Amazon.com, Inc.</t>
        </is>
      </c>
      <c r="C54" s="4" t="inlineStr">
        <is>
          <t>0001018724</t>
        </is>
      </c>
      <c r="D54" s="4" t="inlineStr">
        <is>
          <t>2025Q4</t>
        </is>
      </c>
      <c r="E54" s="4" t="inlineStr">
        <is>
          <t>2025-12-31</t>
        </is>
      </c>
      <c r="F54" s="4" t="inlineStr">
        <is>
          <t>uncommenced_leases</t>
        </is>
      </c>
      <c r="G54" s="4" t="inlineStr">
        <is>
          <t>Uncommenced lease commitments</t>
        </is>
      </c>
      <c r="H54" s="7" t="n">
        <v>96373</v>
      </c>
      <c r="I54" s="8">
        <f>H54/1000</f>
        <v/>
      </c>
      <c r="J54" s="4" t="inlineStr">
        <is>
          <t>filing_table</t>
        </is>
      </c>
      <c r="K54" s="9" t="inlineStr">
        <is>
          <t>Maturity rows sum to the total.</t>
        </is>
      </c>
    </row>
    <row r="55">
      <c r="A55" s="4" t="inlineStr">
        <is>
          <t>AMZN</t>
        </is>
      </c>
      <c r="B55" s="4" t="inlineStr">
        <is>
          <t>Amazon.com, Inc.</t>
        </is>
      </c>
      <c r="C55" s="4" t="inlineStr">
        <is>
          <t>0001018724</t>
        </is>
      </c>
      <c r="D55" s="4" t="inlineStr">
        <is>
          <t>2026Q1</t>
        </is>
      </c>
      <c r="E55" s="4" t="inlineStr">
        <is>
          <t>2026-03-31</t>
        </is>
      </c>
      <c r="F55" s="4" t="inlineStr">
        <is>
          <t>uncommenced_leases</t>
        </is>
      </c>
      <c r="G55" s="4" t="inlineStr">
        <is>
          <t>Uncommenced lease commitments</t>
        </is>
      </c>
      <c r="H55" s="7" t="n">
        <v>106347</v>
      </c>
      <c r="I55" s="8">
        <f>H55/1000</f>
        <v/>
      </c>
      <c r="J55" s="4" t="inlineStr">
        <is>
          <t>filing_table</t>
        </is>
      </c>
      <c r="K55" s="9" t="inlineStr">
        <is>
          <t>Maturity rows sum to the total.</t>
        </is>
      </c>
    </row>
    <row r="56">
      <c r="A56" s="4" t="inlineStr">
        <is>
          <t>AMZN</t>
        </is>
      </c>
      <c r="B56" s="4" t="inlineStr">
        <is>
          <t>Amazon.com, Inc.</t>
        </is>
      </c>
      <c r="C56" s="4" t="inlineStr">
        <is>
          <t>0001018724</t>
        </is>
      </c>
      <c r="D56" s="4" t="inlineStr">
        <is>
          <t>2026Q2</t>
        </is>
      </c>
      <c r="E56" s="4" t="inlineStr">
        <is>
          <t>2026-06-30</t>
        </is>
      </c>
      <c r="F56" s="4" t="inlineStr">
        <is>
          <t>uncommenced_leases</t>
        </is>
      </c>
      <c r="G56" s="4" t="inlineStr">
        <is>
          <t>Uncommenced lease commitments</t>
        </is>
      </c>
      <c r="H56" s="7" t="n">
        <v>137200</v>
      </c>
      <c r="I56" s="8">
        <f>H56/1000</f>
        <v/>
      </c>
      <c r="J56" s="4" t="inlineStr">
        <is>
          <t>derived</t>
        </is>
      </c>
      <c r="K56" s="9" t="inlineStr">
        <is>
          <t>Approximate: press reports the line roughly doubled year-on-year to $137.2bn.</t>
        </is>
      </c>
    </row>
    <row r="57">
      <c r="A57" s="4" t="inlineStr">
        <is>
          <t>ORCL</t>
        </is>
      </c>
      <c r="B57" s="4" t="inlineStr">
        <is>
          <t>Oracle Corporation</t>
        </is>
      </c>
      <c r="C57" s="4" t="inlineStr">
        <is>
          <t>0001341439</t>
        </is>
      </c>
      <c r="D57" s="4" t="inlineStr">
        <is>
          <t>2025Q3</t>
        </is>
      </c>
      <c r="E57" s="4" t="inlineStr">
        <is>
          <t>2025-08-31</t>
        </is>
      </c>
      <c r="F57" s="4" t="inlineStr">
        <is>
          <t>uncommenced_leases</t>
        </is>
      </c>
      <c r="G57" s="4" t="inlineStr">
        <is>
          <t>Uncommenced lease commitments</t>
        </is>
      </c>
      <c r="H57" s="7" t="n">
        <v>99800</v>
      </c>
      <c r="I57" s="8">
        <f>H57/1000</f>
        <v/>
      </c>
      <c r="J57" s="4" t="inlineStr">
        <is>
          <t>filing</t>
        </is>
      </c>
      <c r="K57" s="9" t="inlineStr">
        <is>
          <t>Substantially all data centres; a further $6.6bn was signed after the balance sheet date.</t>
        </is>
      </c>
    </row>
    <row r="58">
      <c r="A58" s="4" t="inlineStr">
        <is>
          <t>ORCL</t>
        </is>
      </c>
      <c r="B58" s="4" t="inlineStr">
        <is>
          <t>Oracle Corporation</t>
        </is>
      </c>
      <c r="C58" s="4" t="inlineStr">
        <is>
          <t>0001341439</t>
        </is>
      </c>
      <c r="D58" s="4" t="inlineStr">
        <is>
          <t>2025Q4</t>
        </is>
      </c>
      <c r="E58" s="4" t="inlineStr">
        <is>
          <t>2025-11-30</t>
        </is>
      </c>
      <c r="F58" s="4" t="inlineStr">
        <is>
          <t>uncommenced_leases</t>
        </is>
      </c>
      <c r="G58" s="4" t="inlineStr">
        <is>
          <t>Uncommenced lease commitments</t>
        </is>
      </c>
      <c r="H58" s="7" t="n">
        <v>248000</v>
      </c>
      <c r="I58" s="8">
        <f>H58/1000</f>
        <v/>
      </c>
      <c r="J58" s="4" t="inlineStr">
        <is>
          <t>filing</t>
        </is>
      </c>
      <c r="K58" s="9" t="inlineStr">
        <is>
          <t>Up ~148% in one quarter; terms of 15-19 years.</t>
        </is>
      </c>
    </row>
    <row r="59">
      <c r="A59" s="4" t="inlineStr">
        <is>
          <t>ORCL</t>
        </is>
      </c>
      <c r="B59" s="4" t="inlineStr">
        <is>
          <t>Oracle Corporation</t>
        </is>
      </c>
      <c r="C59" s="4" t="inlineStr">
        <is>
          <t>0001341439</t>
        </is>
      </c>
      <c r="D59" s="4" t="inlineStr">
        <is>
          <t>2026Q1</t>
        </is>
      </c>
      <c r="E59" s="4" t="inlineStr">
        <is>
          <t>2026-02-28</t>
        </is>
      </c>
      <c r="F59" s="4" t="inlineStr">
        <is>
          <t>uncommenced_leases</t>
        </is>
      </c>
      <c r="G59" s="4" t="inlineStr">
        <is>
          <t>Uncommenced lease commitments</t>
        </is>
      </c>
      <c r="H59" s="7" t="n">
        <v>261000</v>
      </c>
      <c r="I59" s="8">
        <f>H59/1000</f>
        <v/>
      </c>
      <c r="J59" s="4" t="inlineStr">
        <is>
          <t>filing</t>
        </is>
      </c>
      <c r="K59" s="9" t="inlineStr">
        <is>
          <t>Includes a lease where Oracle guarantees up to $2.2bn of the lessor's borrowing.</t>
        </is>
      </c>
    </row>
    <row r="60">
      <c r="A60" s="4" t="inlineStr">
        <is>
          <t>ORCL</t>
        </is>
      </c>
      <c r="B60" s="4" t="inlineStr">
        <is>
          <t>Oracle Corporation</t>
        </is>
      </c>
      <c r="C60" s="4" t="inlineStr">
        <is>
          <t>0001341439</t>
        </is>
      </c>
      <c r="D60" s="4" t="inlineStr">
        <is>
          <t>2026Q2</t>
        </is>
      </c>
      <c r="E60" s="4" t="inlineStr">
        <is>
          <t>2026-05-31</t>
        </is>
      </c>
      <c r="F60" s="4" t="inlineStr">
        <is>
          <t>uncommenced_leases</t>
        </is>
      </c>
      <c r="G60" s="4" t="inlineStr">
        <is>
          <t>Uncommenced lease commitments</t>
        </is>
      </c>
      <c r="H60" s="7" t="n">
        <v>260000</v>
      </c>
      <c r="I60" s="8">
        <f>H60/1000</f>
        <v/>
      </c>
      <c r="J60" s="4" t="inlineStr">
        <is>
          <t>filing</t>
        </is>
      </c>
      <c r="K60" s="9" t="inlineStr">
        <is>
          <t>FY2026 10-K. Commence Q4 FY2026 through FY2028.</t>
        </is>
      </c>
    </row>
  </sheetData>
  <autoFilter ref="A1:K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1" customWidth="1" min="9" max="9"/>
  </cols>
  <sheetData>
    <row r="1">
      <c r="A1" s="1" t="inlineStr">
        <is>
          <t>Uncommenced lease commitments</t>
        </is>
      </c>
    </row>
    <row r="2">
      <c r="A2" s="10" t="inlineStr">
        <is>
          <t>USD billions. Blank = not disclosed / not sourced; never treated as zero.</t>
        </is>
      </c>
    </row>
    <row r="4" ht="28" customHeight="1">
      <c r="A4" s="6" t="inlineStr">
        <is>
          <t>Calendar quarter</t>
        </is>
      </c>
      <c r="B4" s="6" t="inlineStr">
        <is>
          <t>GOOGL</t>
        </is>
      </c>
      <c r="C4" s="6" t="inlineStr">
        <is>
          <t>MSFT</t>
        </is>
      </c>
      <c r="D4" s="6" t="inlineStr">
        <is>
          <t>META</t>
        </is>
      </c>
      <c r="E4" s="6" t="inlineStr">
        <is>
          <t>AMZN</t>
        </is>
      </c>
      <c r="F4" s="6" t="inlineStr">
        <is>
          <t>NVDA</t>
        </is>
      </c>
      <c r="G4" s="6" t="inlineStr">
        <is>
          <t>ORCL</t>
        </is>
      </c>
      <c r="H4" s="6" t="inlineStr">
        <is>
          <t>Total</t>
        </is>
      </c>
      <c r="I4" s="6" t="inlineStr">
        <is>
          <t>Reported</t>
        </is>
      </c>
    </row>
    <row r="5">
      <c r="A5" s="4" t="inlineStr">
        <is>
          <t>2023Q3</t>
        </is>
      </c>
      <c r="B5" s="11">
        <f>IF(COUNTIFS(Data!$A$2:$A$60,"GOOGL",Data!$D$2:$D$60,$A5,Data!$F$2:$F$60,"uncommenced_leases")=0,"",SUMIFS(Data!$H$2:$H$60,Data!$A$2:$A$60,"GOOGL",Data!$D$2:$D$60,$A5,Data!$F$2:$F$60,"uncommenced_leases")/1000)</f>
        <v/>
      </c>
      <c r="C5" s="11">
        <f>IF(COUNTIFS(Data!$A$2:$A$60,"MSFT",Data!$D$2:$D$60,$A5,Data!$F$2:$F$60,"uncommenced_leases")=0,"",SUMIFS(Data!$H$2:$H$60,Data!$A$2:$A$60,"MSFT",Data!$D$2:$D$60,$A5,Data!$F$2:$F$60,"uncommenced_leases")/1000)</f>
        <v/>
      </c>
      <c r="D5" s="11">
        <f>IF(COUNTIFS(Data!$A$2:$A$60,"META",Data!$D$2:$D$60,$A5,Data!$F$2:$F$60,"uncommenced_leases")=0,"",SUMIFS(Data!$H$2:$H$60,Data!$A$2:$A$60,"META",Data!$D$2:$D$60,$A5,Data!$F$2:$F$60,"uncommenced_leases")/1000)</f>
        <v/>
      </c>
      <c r="E5" s="11">
        <f>IF(COUNTIFS(Data!$A$2:$A$60,"AMZN",Data!$D$2:$D$60,$A5,Data!$F$2:$F$60,"uncommenced_leases")=0,"",SUMIFS(Data!$H$2:$H$60,Data!$A$2:$A$60,"AMZN",Data!$D$2:$D$60,$A5,Data!$F$2:$F$60,"uncommenced_leases")/1000)</f>
        <v/>
      </c>
      <c r="F5" s="11">
        <f>IF(COUNTIFS(Data!$A$2:$A$60,"NVDA",Data!$D$2:$D$60,$A5,Data!$F$2:$F$60,"uncommenced_leases")=0,"",SUMIFS(Data!$H$2:$H$60,Data!$A$2:$A$60,"NVDA",Data!$D$2:$D$60,$A5,Data!$F$2:$F$60,"uncommenced_leases")/1000)</f>
        <v/>
      </c>
      <c r="G5" s="11">
        <f>IF(COUNTIFS(Data!$A$2:$A$60,"ORCL",Data!$D$2:$D$60,$A5,Data!$F$2:$F$60,"uncommenced_leases")=0,"",SUMIFS(Data!$H$2:$H$60,Data!$A$2:$A$60,"ORCL",Data!$D$2:$D$60,$A5,Data!$F$2:$F$60,"uncommenced_leases")/1000)</f>
        <v/>
      </c>
      <c r="H5" s="12">
        <f>IF(COUNT(B5:G5)=0,"",SUM(B5:G5))</f>
        <v/>
      </c>
      <c r="I5" s="13">
        <f>COUNT(B5:G5)&amp;" of 6"</f>
        <v/>
      </c>
    </row>
    <row r="6">
      <c r="A6" s="4" t="inlineStr">
        <is>
          <t>2023Q4</t>
        </is>
      </c>
      <c r="B6" s="11">
        <f>IF(COUNTIFS(Data!$A$2:$A$60,"GOOGL",Data!$D$2:$D$60,$A6,Data!$F$2:$F$60,"uncommenced_leases")=0,"",SUMIFS(Data!$H$2:$H$60,Data!$A$2:$A$60,"GOOGL",Data!$D$2:$D$60,$A6,Data!$F$2:$F$60,"uncommenced_leases")/1000)</f>
        <v/>
      </c>
      <c r="C6" s="11">
        <f>IF(COUNTIFS(Data!$A$2:$A$60,"MSFT",Data!$D$2:$D$60,$A6,Data!$F$2:$F$60,"uncommenced_leases")=0,"",SUMIFS(Data!$H$2:$H$60,Data!$A$2:$A$60,"MSFT",Data!$D$2:$D$60,$A6,Data!$F$2:$F$60,"uncommenced_leases")/1000)</f>
        <v/>
      </c>
      <c r="D6" s="11">
        <f>IF(COUNTIFS(Data!$A$2:$A$60,"META",Data!$D$2:$D$60,$A6,Data!$F$2:$F$60,"uncommenced_leases")=0,"",SUMIFS(Data!$H$2:$H$60,Data!$A$2:$A$60,"META",Data!$D$2:$D$60,$A6,Data!$F$2:$F$60,"uncommenced_leases")/1000)</f>
        <v/>
      </c>
      <c r="E6" s="11">
        <f>IF(COUNTIFS(Data!$A$2:$A$60,"AMZN",Data!$D$2:$D$60,$A6,Data!$F$2:$F$60,"uncommenced_leases")=0,"",SUMIFS(Data!$H$2:$H$60,Data!$A$2:$A$60,"AMZN",Data!$D$2:$D$60,$A6,Data!$F$2:$F$60,"uncommenced_leases")/1000)</f>
        <v/>
      </c>
      <c r="F6" s="11">
        <f>IF(COUNTIFS(Data!$A$2:$A$60,"NVDA",Data!$D$2:$D$60,$A6,Data!$F$2:$F$60,"uncommenced_leases")=0,"",SUMIFS(Data!$H$2:$H$60,Data!$A$2:$A$60,"NVDA",Data!$D$2:$D$60,$A6,Data!$F$2:$F$60,"uncommenced_leases")/1000)</f>
        <v/>
      </c>
      <c r="G6" s="11">
        <f>IF(COUNTIFS(Data!$A$2:$A$60,"ORCL",Data!$D$2:$D$60,$A6,Data!$F$2:$F$60,"uncommenced_leases")=0,"",SUMIFS(Data!$H$2:$H$60,Data!$A$2:$A$60,"ORCL",Data!$D$2:$D$60,$A6,Data!$F$2:$F$60,"uncommenced_leases")/1000)</f>
        <v/>
      </c>
      <c r="H6" s="12">
        <f>IF(COUNT(B6:G6)=0,"",SUM(B6:G6))</f>
        <v/>
      </c>
      <c r="I6" s="13">
        <f>COUNT(B6:G6)&amp;" of 6"</f>
        <v/>
      </c>
    </row>
    <row r="7">
      <c r="A7" s="4" t="inlineStr">
        <is>
          <t>2024Q1</t>
        </is>
      </c>
      <c r="B7" s="11">
        <f>IF(COUNTIFS(Data!$A$2:$A$60,"GOOGL",Data!$D$2:$D$60,$A7,Data!$F$2:$F$60,"uncommenced_leases")=0,"",SUMIFS(Data!$H$2:$H$60,Data!$A$2:$A$60,"GOOGL",Data!$D$2:$D$60,$A7,Data!$F$2:$F$60,"uncommenced_leases")/1000)</f>
        <v/>
      </c>
      <c r="C7" s="11">
        <f>IF(COUNTIFS(Data!$A$2:$A$60,"MSFT",Data!$D$2:$D$60,$A7,Data!$F$2:$F$60,"uncommenced_leases")=0,"",SUMIFS(Data!$H$2:$H$60,Data!$A$2:$A$60,"MSFT",Data!$D$2:$D$60,$A7,Data!$F$2:$F$60,"uncommenced_leases")/1000)</f>
        <v/>
      </c>
      <c r="D7" s="11">
        <f>IF(COUNTIFS(Data!$A$2:$A$60,"META",Data!$D$2:$D$60,$A7,Data!$F$2:$F$60,"uncommenced_leases")=0,"",SUMIFS(Data!$H$2:$H$60,Data!$A$2:$A$60,"META",Data!$D$2:$D$60,$A7,Data!$F$2:$F$60,"uncommenced_leases")/1000)</f>
        <v/>
      </c>
      <c r="E7" s="11">
        <f>IF(COUNTIFS(Data!$A$2:$A$60,"AMZN",Data!$D$2:$D$60,$A7,Data!$F$2:$F$60,"uncommenced_leases")=0,"",SUMIFS(Data!$H$2:$H$60,Data!$A$2:$A$60,"AMZN",Data!$D$2:$D$60,$A7,Data!$F$2:$F$60,"uncommenced_leases")/1000)</f>
        <v/>
      </c>
      <c r="F7" s="11">
        <f>IF(COUNTIFS(Data!$A$2:$A$60,"NVDA",Data!$D$2:$D$60,$A7,Data!$F$2:$F$60,"uncommenced_leases")=0,"",SUMIFS(Data!$H$2:$H$60,Data!$A$2:$A$60,"NVDA",Data!$D$2:$D$60,$A7,Data!$F$2:$F$60,"uncommenced_leases")/1000)</f>
        <v/>
      </c>
      <c r="G7" s="11">
        <f>IF(COUNTIFS(Data!$A$2:$A$60,"ORCL",Data!$D$2:$D$60,$A7,Data!$F$2:$F$60,"uncommenced_leases")=0,"",SUMIFS(Data!$H$2:$H$60,Data!$A$2:$A$60,"ORCL",Data!$D$2:$D$60,$A7,Data!$F$2:$F$60,"uncommenced_leases")/1000)</f>
        <v/>
      </c>
      <c r="H7" s="12">
        <f>IF(COUNT(B7:G7)=0,"",SUM(B7:G7))</f>
        <v/>
      </c>
      <c r="I7" s="13">
        <f>COUNT(B7:G7)&amp;" of 6"</f>
        <v/>
      </c>
    </row>
    <row r="8">
      <c r="A8" s="4" t="inlineStr">
        <is>
          <t>2024Q2</t>
        </is>
      </c>
      <c r="B8" s="11">
        <f>IF(COUNTIFS(Data!$A$2:$A$60,"GOOGL",Data!$D$2:$D$60,$A8,Data!$F$2:$F$60,"uncommenced_leases")=0,"",SUMIFS(Data!$H$2:$H$60,Data!$A$2:$A$60,"GOOGL",Data!$D$2:$D$60,$A8,Data!$F$2:$F$60,"uncommenced_leases")/1000)</f>
        <v/>
      </c>
      <c r="C8" s="11">
        <f>IF(COUNTIFS(Data!$A$2:$A$60,"MSFT",Data!$D$2:$D$60,$A8,Data!$F$2:$F$60,"uncommenced_leases")=0,"",SUMIFS(Data!$H$2:$H$60,Data!$A$2:$A$60,"MSFT",Data!$D$2:$D$60,$A8,Data!$F$2:$F$60,"uncommenced_leases")/1000)</f>
        <v/>
      </c>
      <c r="D8" s="11">
        <f>IF(COUNTIFS(Data!$A$2:$A$60,"META",Data!$D$2:$D$60,$A8,Data!$F$2:$F$60,"uncommenced_leases")=0,"",SUMIFS(Data!$H$2:$H$60,Data!$A$2:$A$60,"META",Data!$D$2:$D$60,$A8,Data!$F$2:$F$60,"uncommenced_leases")/1000)</f>
        <v/>
      </c>
      <c r="E8" s="11">
        <f>IF(COUNTIFS(Data!$A$2:$A$60,"AMZN",Data!$D$2:$D$60,$A8,Data!$F$2:$F$60,"uncommenced_leases")=0,"",SUMIFS(Data!$H$2:$H$60,Data!$A$2:$A$60,"AMZN",Data!$D$2:$D$60,$A8,Data!$F$2:$F$60,"uncommenced_leases")/1000)</f>
        <v/>
      </c>
      <c r="F8" s="11">
        <f>IF(COUNTIFS(Data!$A$2:$A$60,"NVDA",Data!$D$2:$D$60,$A8,Data!$F$2:$F$60,"uncommenced_leases")=0,"",SUMIFS(Data!$H$2:$H$60,Data!$A$2:$A$60,"NVDA",Data!$D$2:$D$60,$A8,Data!$F$2:$F$60,"uncommenced_leases")/1000)</f>
        <v/>
      </c>
      <c r="G8" s="11">
        <f>IF(COUNTIFS(Data!$A$2:$A$60,"ORCL",Data!$D$2:$D$60,$A8,Data!$F$2:$F$60,"uncommenced_leases")=0,"",SUMIFS(Data!$H$2:$H$60,Data!$A$2:$A$60,"ORCL",Data!$D$2:$D$60,$A8,Data!$F$2:$F$60,"uncommenced_leases")/1000)</f>
        <v/>
      </c>
      <c r="H8" s="12">
        <f>IF(COUNT(B8:G8)=0,"",SUM(B8:G8))</f>
        <v/>
      </c>
      <c r="I8" s="13">
        <f>COUNT(B8:G8)&amp;" of 6"</f>
        <v/>
      </c>
    </row>
    <row r="9">
      <c r="A9" s="4" t="inlineStr">
        <is>
          <t>2024Q3</t>
        </is>
      </c>
      <c r="B9" s="11">
        <f>IF(COUNTIFS(Data!$A$2:$A$60,"GOOGL",Data!$D$2:$D$60,$A9,Data!$F$2:$F$60,"uncommenced_leases")=0,"",SUMIFS(Data!$H$2:$H$60,Data!$A$2:$A$60,"GOOGL",Data!$D$2:$D$60,$A9,Data!$F$2:$F$60,"uncommenced_leases")/1000)</f>
        <v/>
      </c>
      <c r="C9" s="11">
        <f>IF(COUNTIFS(Data!$A$2:$A$60,"MSFT",Data!$D$2:$D$60,$A9,Data!$F$2:$F$60,"uncommenced_leases")=0,"",SUMIFS(Data!$H$2:$H$60,Data!$A$2:$A$60,"MSFT",Data!$D$2:$D$60,$A9,Data!$F$2:$F$60,"uncommenced_leases")/1000)</f>
        <v/>
      </c>
      <c r="D9" s="11">
        <f>IF(COUNTIFS(Data!$A$2:$A$60,"META",Data!$D$2:$D$60,$A9,Data!$F$2:$F$60,"uncommenced_leases")=0,"",SUMIFS(Data!$H$2:$H$60,Data!$A$2:$A$60,"META",Data!$D$2:$D$60,$A9,Data!$F$2:$F$60,"uncommenced_leases")/1000)</f>
        <v/>
      </c>
      <c r="E9" s="11">
        <f>IF(COUNTIFS(Data!$A$2:$A$60,"AMZN",Data!$D$2:$D$60,$A9,Data!$F$2:$F$60,"uncommenced_leases")=0,"",SUMIFS(Data!$H$2:$H$60,Data!$A$2:$A$60,"AMZN",Data!$D$2:$D$60,$A9,Data!$F$2:$F$60,"uncommenced_leases")/1000)</f>
        <v/>
      </c>
      <c r="F9" s="11">
        <f>IF(COUNTIFS(Data!$A$2:$A$60,"NVDA",Data!$D$2:$D$60,$A9,Data!$F$2:$F$60,"uncommenced_leases")=0,"",SUMIFS(Data!$H$2:$H$60,Data!$A$2:$A$60,"NVDA",Data!$D$2:$D$60,$A9,Data!$F$2:$F$60,"uncommenced_leases")/1000)</f>
        <v/>
      </c>
      <c r="G9" s="11">
        <f>IF(COUNTIFS(Data!$A$2:$A$60,"ORCL",Data!$D$2:$D$60,$A9,Data!$F$2:$F$60,"uncommenced_leases")=0,"",SUMIFS(Data!$H$2:$H$60,Data!$A$2:$A$60,"ORCL",Data!$D$2:$D$60,$A9,Data!$F$2:$F$60,"uncommenced_leases")/1000)</f>
        <v/>
      </c>
      <c r="H9" s="12">
        <f>IF(COUNT(B9:G9)=0,"",SUM(B9:G9))</f>
        <v/>
      </c>
      <c r="I9" s="13">
        <f>COUNT(B9:G9)&amp;" of 6"</f>
        <v/>
      </c>
    </row>
    <row r="10">
      <c r="A10" s="4" t="inlineStr">
        <is>
          <t>2024Q4</t>
        </is>
      </c>
      <c r="B10" s="11">
        <f>IF(COUNTIFS(Data!$A$2:$A$60,"GOOGL",Data!$D$2:$D$60,$A10,Data!$F$2:$F$60,"uncommenced_leases")=0,"",SUMIFS(Data!$H$2:$H$60,Data!$A$2:$A$60,"GOOGL",Data!$D$2:$D$60,$A10,Data!$F$2:$F$60,"uncommenced_leases")/1000)</f>
        <v/>
      </c>
      <c r="C10" s="11">
        <f>IF(COUNTIFS(Data!$A$2:$A$60,"MSFT",Data!$D$2:$D$60,$A10,Data!$F$2:$F$60,"uncommenced_leases")=0,"",SUMIFS(Data!$H$2:$H$60,Data!$A$2:$A$60,"MSFT",Data!$D$2:$D$60,$A10,Data!$F$2:$F$60,"uncommenced_leases")/1000)</f>
        <v/>
      </c>
      <c r="D10" s="11">
        <f>IF(COUNTIFS(Data!$A$2:$A$60,"META",Data!$D$2:$D$60,$A10,Data!$F$2:$F$60,"uncommenced_leases")=0,"",SUMIFS(Data!$H$2:$H$60,Data!$A$2:$A$60,"META",Data!$D$2:$D$60,$A10,Data!$F$2:$F$60,"uncommenced_leases")/1000)</f>
        <v/>
      </c>
      <c r="E10" s="11">
        <f>IF(COUNTIFS(Data!$A$2:$A$60,"AMZN",Data!$D$2:$D$60,$A10,Data!$F$2:$F$60,"uncommenced_leases")=0,"",SUMIFS(Data!$H$2:$H$60,Data!$A$2:$A$60,"AMZN",Data!$D$2:$D$60,$A10,Data!$F$2:$F$60,"uncommenced_leases")/1000)</f>
        <v/>
      </c>
      <c r="F10" s="11">
        <f>IF(COUNTIFS(Data!$A$2:$A$60,"NVDA",Data!$D$2:$D$60,$A10,Data!$F$2:$F$60,"uncommenced_leases")=0,"",SUMIFS(Data!$H$2:$H$60,Data!$A$2:$A$60,"NVDA",Data!$D$2:$D$60,$A10,Data!$F$2:$F$60,"uncommenced_leases")/1000)</f>
        <v/>
      </c>
      <c r="G10" s="11">
        <f>IF(COUNTIFS(Data!$A$2:$A$60,"ORCL",Data!$D$2:$D$60,$A10,Data!$F$2:$F$60,"uncommenced_leases")=0,"",SUMIFS(Data!$H$2:$H$60,Data!$A$2:$A$60,"ORCL",Data!$D$2:$D$60,$A10,Data!$F$2:$F$60,"uncommenced_leases")/1000)</f>
        <v/>
      </c>
      <c r="H10" s="12">
        <f>IF(COUNT(B10:G10)=0,"",SUM(B10:G10))</f>
        <v/>
      </c>
      <c r="I10" s="13">
        <f>COUNT(B10:G10)&amp;" of 6"</f>
        <v/>
      </c>
    </row>
    <row r="11">
      <c r="A11" s="4" t="inlineStr">
        <is>
          <t>2025Q1</t>
        </is>
      </c>
      <c r="B11" s="11">
        <f>IF(COUNTIFS(Data!$A$2:$A$60,"GOOGL",Data!$D$2:$D$60,$A11,Data!$F$2:$F$60,"uncommenced_leases")=0,"",SUMIFS(Data!$H$2:$H$60,Data!$A$2:$A$60,"GOOGL",Data!$D$2:$D$60,$A11,Data!$F$2:$F$60,"uncommenced_leases")/1000)</f>
        <v/>
      </c>
      <c r="C11" s="11">
        <f>IF(COUNTIFS(Data!$A$2:$A$60,"MSFT",Data!$D$2:$D$60,$A11,Data!$F$2:$F$60,"uncommenced_leases")=0,"",SUMIFS(Data!$H$2:$H$60,Data!$A$2:$A$60,"MSFT",Data!$D$2:$D$60,$A11,Data!$F$2:$F$60,"uncommenced_leases")/1000)</f>
        <v/>
      </c>
      <c r="D11" s="11">
        <f>IF(COUNTIFS(Data!$A$2:$A$60,"META",Data!$D$2:$D$60,$A11,Data!$F$2:$F$60,"uncommenced_leases")=0,"",SUMIFS(Data!$H$2:$H$60,Data!$A$2:$A$60,"META",Data!$D$2:$D$60,$A11,Data!$F$2:$F$60,"uncommenced_leases")/1000)</f>
        <v/>
      </c>
      <c r="E11" s="11">
        <f>IF(COUNTIFS(Data!$A$2:$A$60,"AMZN",Data!$D$2:$D$60,$A11,Data!$F$2:$F$60,"uncommenced_leases")=0,"",SUMIFS(Data!$H$2:$H$60,Data!$A$2:$A$60,"AMZN",Data!$D$2:$D$60,$A11,Data!$F$2:$F$60,"uncommenced_leases")/1000)</f>
        <v/>
      </c>
      <c r="F11" s="11">
        <f>IF(COUNTIFS(Data!$A$2:$A$60,"NVDA",Data!$D$2:$D$60,$A11,Data!$F$2:$F$60,"uncommenced_leases")=0,"",SUMIFS(Data!$H$2:$H$60,Data!$A$2:$A$60,"NVDA",Data!$D$2:$D$60,$A11,Data!$F$2:$F$60,"uncommenced_leases")/1000)</f>
        <v/>
      </c>
      <c r="G11" s="11">
        <f>IF(COUNTIFS(Data!$A$2:$A$60,"ORCL",Data!$D$2:$D$60,$A11,Data!$F$2:$F$60,"uncommenced_leases")=0,"",SUMIFS(Data!$H$2:$H$60,Data!$A$2:$A$60,"ORCL",Data!$D$2:$D$60,$A11,Data!$F$2:$F$60,"uncommenced_leases")/1000)</f>
        <v/>
      </c>
      <c r="H11" s="12">
        <f>IF(COUNT(B11:G11)=0,"",SUM(B11:G11))</f>
        <v/>
      </c>
      <c r="I11" s="13">
        <f>COUNT(B11:G11)&amp;" of 6"</f>
        <v/>
      </c>
    </row>
    <row r="12">
      <c r="A12" s="4" t="inlineStr">
        <is>
          <t>2025Q2</t>
        </is>
      </c>
      <c r="B12" s="11">
        <f>IF(COUNTIFS(Data!$A$2:$A$60,"GOOGL",Data!$D$2:$D$60,$A12,Data!$F$2:$F$60,"uncommenced_leases")=0,"",SUMIFS(Data!$H$2:$H$60,Data!$A$2:$A$60,"GOOGL",Data!$D$2:$D$60,$A12,Data!$F$2:$F$60,"uncommenced_leases")/1000)</f>
        <v/>
      </c>
      <c r="C12" s="11">
        <f>IF(COUNTIFS(Data!$A$2:$A$60,"MSFT",Data!$D$2:$D$60,$A12,Data!$F$2:$F$60,"uncommenced_leases")=0,"",SUMIFS(Data!$H$2:$H$60,Data!$A$2:$A$60,"MSFT",Data!$D$2:$D$60,$A12,Data!$F$2:$F$60,"uncommenced_leases")/1000)</f>
        <v/>
      </c>
      <c r="D12" s="11">
        <f>IF(COUNTIFS(Data!$A$2:$A$60,"META",Data!$D$2:$D$60,$A12,Data!$F$2:$F$60,"uncommenced_leases")=0,"",SUMIFS(Data!$H$2:$H$60,Data!$A$2:$A$60,"META",Data!$D$2:$D$60,$A12,Data!$F$2:$F$60,"uncommenced_leases")/1000)</f>
        <v/>
      </c>
      <c r="E12" s="11">
        <f>IF(COUNTIFS(Data!$A$2:$A$60,"AMZN",Data!$D$2:$D$60,$A12,Data!$F$2:$F$60,"uncommenced_leases")=0,"",SUMIFS(Data!$H$2:$H$60,Data!$A$2:$A$60,"AMZN",Data!$D$2:$D$60,$A12,Data!$F$2:$F$60,"uncommenced_leases")/1000)</f>
        <v/>
      </c>
      <c r="F12" s="11">
        <f>IF(COUNTIFS(Data!$A$2:$A$60,"NVDA",Data!$D$2:$D$60,$A12,Data!$F$2:$F$60,"uncommenced_leases")=0,"",SUMIFS(Data!$H$2:$H$60,Data!$A$2:$A$60,"NVDA",Data!$D$2:$D$60,$A12,Data!$F$2:$F$60,"uncommenced_leases")/1000)</f>
        <v/>
      </c>
      <c r="G12" s="11">
        <f>IF(COUNTIFS(Data!$A$2:$A$60,"ORCL",Data!$D$2:$D$60,$A12,Data!$F$2:$F$60,"uncommenced_leases")=0,"",SUMIFS(Data!$H$2:$H$60,Data!$A$2:$A$60,"ORCL",Data!$D$2:$D$60,$A12,Data!$F$2:$F$60,"uncommenced_leases")/1000)</f>
        <v/>
      </c>
      <c r="H12" s="12">
        <f>IF(COUNT(B12:G12)=0,"",SUM(B12:G12))</f>
        <v/>
      </c>
      <c r="I12" s="13">
        <f>COUNT(B12:G12)&amp;" of 6"</f>
        <v/>
      </c>
    </row>
    <row r="13">
      <c r="A13" s="4" t="inlineStr">
        <is>
          <t>2025Q3</t>
        </is>
      </c>
      <c r="B13" s="11">
        <f>IF(COUNTIFS(Data!$A$2:$A$60,"GOOGL",Data!$D$2:$D$60,$A13,Data!$F$2:$F$60,"uncommenced_leases")=0,"",SUMIFS(Data!$H$2:$H$60,Data!$A$2:$A$60,"GOOGL",Data!$D$2:$D$60,$A13,Data!$F$2:$F$60,"uncommenced_leases")/1000)</f>
        <v/>
      </c>
      <c r="C13" s="11">
        <f>IF(COUNTIFS(Data!$A$2:$A$60,"MSFT",Data!$D$2:$D$60,$A13,Data!$F$2:$F$60,"uncommenced_leases")=0,"",SUMIFS(Data!$H$2:$H$60,Data!$A$2:$A$60,"MSFT",Data!$D$2:$D$60,$A13,Data!$F$2:$F$60,"uncommenced_leases")/1000)</f>
        <v/>
      </c>
      <c r="D13" s="11">
        <f>IF(COUNTIFS(Data!$A$2:$A$60,"META",Data!$D$2:$D$60,$A13,Data!$F$2:$F$60,"uncommenced_leases")=0,"",SUMIFS(Data!$H$2:$H$60,Data!$A$2:$A$60,"META",Data!$D$2:$D$60,$A13,Data!$F$2:$F$60,"uncommenced_leases")/1000)</f>
        <v/>
      </c>
      <c r="E13" s="11">
        <f>IF(COUNTIFS(Data!$A$2:$A$60,"AMZN",Data!$D$2:$D$60,$A13,Data!$F$2:$F$60,"uncommenced_leases")=0,"",SUMIFS(Data!$H$2:$H$60,Data!$A$2:$A$60,"AMZN",Data!$D$2:$D$60,$A13,Data!$F$2:$F$60,"uncommenced_leases")/1000)</f>
        <v/>
      </c>
      <c r="F13" s="11">
        <f>IF(COUNTIFS(Data!$A$2:$A$60,"NVDA",Data!$D$2:$D$60,$A13,Data!$F$2:$F$60,"uncommenced_leases")=0,"",SUMIFS(Data!$H$2:$H$60,Data!$A$2:$A$60,"NVDA",Data!$D$2:$D$60,$A13,Data!$F$2:$F$60,"uncommenced_leases")/1000)</f>
        <v/>
      </c>
      <c r="G13" s="11">
        <f>IF(COUNTIFS(Data!$A$2:$A$60,"ORCL",Data!$D$2:$D$60,$A13,Data!$F$2:$F$60,"uncommenced_leases")=0,"",SUMIFS(Data!$H$2:$H$60,Data!$A$2:$A$60,"ORCL",Data!$D$2:$D$60,$A13,Data!$F$2:$F$60,"uncommenced_leases")/1000)</f>
        <v/>
      </c>
      <c r="H13" s="12">
        <f>IF(COUNT(B13:G13)=0,"",SUM(B13:G13))</f>
        <v/>
      </c>
      <c r="I13" s="13">
        <f>COUNT(B13:G13)&amp;" of 6"</f>
        <v/>
      </c>
    </row>
    <row r="14">
      <c r="A14" s="4" t="inlineStr">
        <is>
          <t>2025Q4</t>
        </is>
      </c>
      <c r="B14" s="11">
        <f>IF(COUNTIFS(Data!$A$2:$A$60,"GOOGL",Data!$D$2:$D$60,$A14,Data!$F$2:$F$60,"uncommenced_leases")=0,"",SUMIFS(Data!$H$2:$H$60,Data!$A$2:$A$60,"GOOGL",Data!$D$2:$D$60,$A14,Data!$F$2:$F$60,"uncommenced_leases")/1000)</f>
        <v/>
      </c>
      <c r="C14" s="11">
        <f>IF(COUNTIFS(Data!$A$2:$A$60,"MSFT",Data!$D$2:$D$60,$A14,Data!$F$2:$F$60,"uncommenced_leases")=0,"",SUMIFS(Data!$H$2:$H$60,Data!$A$2:$A$60,"MSFT",Data!$D$2:$D$60,$A14,Data!$F$2:$F$60,"uncommenced_leases")/1000)</f>
        <v/>
      </c>
      <c r="D14" s="11">
        <f>IF(COUNTIFS(Data!$A$2:$A$60,"META",Data!$D$2:$D$60,$A14,Data!$F$2:$F$60,"uncommenced_leases")=0,"",SUMIFS(Data!$H$2:$H$60,Data!$A$2:$A$60,"META",Data!$D$2:$D$60,$A14,Data!$F$2:$F$60,"uncommenced_leases")/1000)</f>
        <v/>
      </c>
      <c r="E14" s="11">
        <f>IF(COUNTIFS(Data!$A$2:$A$60,"AMZN",Data!$D$2:$D$60,$A14,Data!$F$2:$F$60,"uncommenced_leases")=0,"",SUMIFS(Data!$H$2:$H$60,Data!$A$2:$A$60,"AMZN",Data!$D$2:$D$60,$A14,Data!$F$2:$F$60,"uncommenced_leases")/1000)</f>
        <v/>
      </c>
      <c r="F14" s="11">
        <f>IF(COUNTIFS(Data!$A$2:$A$60,"NVDA",Data!$D$2:$D$60,$A14,Data!$F$2:$F$60,"uncommenced_leases")=0,"",SUMIFS(Data!$H$2:$H$60,Data!$A$2:$A$60,"NVDA",Data!$D$2:$D$60,$A14,Data!$F$2:$F$60,"uncommenced_leases")/1000)</f>
        <v/>
      </c>
      <c r="G14" s="11">
        <f>IF(COUNTIFS(Data!$A$2:$A$60,"ORCL",Data!$D$2:$D$60,$A14,Data!$F$2:$F$60,"uncommenced_leases")=0,"",SUMIFS(Data!$H$2:$H$60,Data!$A$2:$A$60,"ORCL",Data!$D$2:$D$60,$A14,Data!$F$2:$F$60,"uncommenced_leases")/1000)</f>
        <v/>
      </c>
      <c r="H14" s="12">
        <f>IF(COUNT(B14:G14)=0,"",SUM(B14:G14))</f>
        <v/>
      </c>
      <c r="I14" s="13">
        <f>COUNT(B14:G14)&amp;" of 6"</f>
        <v/>
      </c>
    </row>
    <row r="15">
      <c r="A15" s="4" t="inlineStr">
        <is>
          <t>2026Q1</t>
        </is>
      </c>
      <c r="B15" s="11">
        <f>IF(COUNTIFS(Data!$A$2:$A$60,"GOOGL",Data!$D$2:$D$60,$A15,Data!$F$2:$F$60,"uncommenced_leases")=0,"",SUMIFS(Data!$H$2:$H$60,Data!$A$2:$A$60,"GOOGL",Data!$D$2:$D$60,$A15,Data!$F$2:$F$60,"uncommenced_leases")/1000)</f>
        <v/>
      </c>
      <c r="C15" s="11">
        <f>IF(COUNTIFS(Data!$A$2:$A$60,"MSFT",Data!$D$2:$D$60,$A15,Data!$F$2:$F$60,"uncommenced_leases")=0,"",SUMIFS(Data!$H$2:$H$60,Data!$A$2:$A$60,"MSFT",Data!$D$2:$D$60,$A15,Data!$F$2:$F$60,"uncommenced_leases")/1000)</f>
        <v/>
      </c>
      <c r="D15" s="11">
        <f>IF(COUNTIFS(Data!$A$2:$A$60,"META",Data!$D$2:$D$60,$A15,Data!$F$2:$F$60,"uncommenced_leases")=0,"",SUMIFS(Data!$H$2:$H$60,Data!$A$2:$A$60,"META",Data!$D$2:$D$60,$A15,Data!$F$2:$F$60,"uncommenced_leases")/1000)</f>
        <v/>
      </c>
      <c r="E15" s="11">
        <f>IF(COUNTIFS(Data!$A$2:$A$60,"AMZN",Data!$D$2:$D$60,$A15,Data!$F$2:$F$60,"uncommenced_leases")=0,"",SUMIFS(Data!$H$2:$H$60,Data!$A$2:$A$60,"AMZN",Data!$D$2:$D$60,$A15,Data!$F$2:$F$60,"uncommenced_leases")/1000)</f>
        <v/>
      </c>
      <c r="F15" s="11">
        <f>IF(COUNTIFS(Data!$A$2:$A$60,"NVDA",Data!$D$2:$D$60,$A15,Data!$F$2:$F$60,"uncommenced_leases")=0,"",SUMIFS(Data!$H$2:$H$60,Data!$A$2:$A$60,"NVDA",Data!$D$2:$D$60,$A15,Data!$F$2:$F$60,"uncommenced_leases")/1000)</f>
        <v/>
      </c>
      <c r="G15" s="11">
        <f>IF(COUNTIFS(Data!$A$2:$A$60,"ORCL",Data!$D$2:$D$60,$A15,Data!$F$2:$F$60,"uncommenced_leases")=0,"",SUMIFS(Data!$H$2:$H$60,Data!$A$2:$A$60,"ORCL",Data!$D$2:$D$60,$A15,Data!$F$2:$F$60,"uncommenced_leases")/1000)</f>
        <v/>
      </c>
      <c r="H15" s="12">
        <f>IF(COUNT(B15:G15)=0,"",SUM(B15:G15))</f>
        <v/>
      </c>
      <c r="I15" s="13">
        <f>COUNT(B15:G15)&amp;" of 6"</f>
        <v/>
      </c>
    </row>
    <row r="16">
      <c r="A16" s="4" t="inlineStr">
        <is>
          <t>2026Q2</t>
        </is>
      </c>
      <c r="B16" s="11">
        <f>IF(COUNTIFS(Data!$A$2:$A$60,"GOOGL",Data!$D$2:$D$60,$A16,Data!$F$2:$F$60,"uncommenced_leases")=0,"",SUMIFS(Data!$H$2:$H$60,Data!$A$2:$A$60,"GOOGL",Data!$D$2:$D$60,$A16,Data!$F$2:$F$60,"uncommenced_leases")/1000)</f>
        <v/>
      </c>
      <c r="C16" s="11">
        <f>IF(COUNTIFS(Data!$A$2:$A$60,"MSFT",Data!$D$2:$D$60,$A16,Data!$F$2:$F$60,"uncommenced_leases")=0,"",SUMIFS(Data!$H$2:$H$60,Data!$A$2:$A$60,"MSFT",Data!$D$2:$D$60,$A16,Data!$F$2:$F$60,"uncommenced_leases")/1000)</f>
        <v/>
      </c>
      <c r="D16" s="11">
        <f>IF(COUNTIFS(Data!$A$2:$A$60,"META",Data!$D$2:$D$60,$A16,Data!$F$2:$F$60,"uncommenced_leases")=0,"",SUMIFS(Data!$H$2:$H$60,Data!$A$2:$A$60,"META",Data!$D$2:$D$60,$A16,Data!$F$2:$F$60,"uncommenced_leases")/1000)</f>
        <v/>
      </c>
      <c r="E16" s="11">
        <f>IF(COUNTIFS(Data!$A$2:$A$60,"AMZN",Data!$D$2:$D$60,$A16,Data!$F$2:$F$60,"uncommenced_leases")=0,"",SUMIFS(Data!$H$2:$H$60,Data!$A$2:$A$60,"AMZN",Data!$D$2:$D$60,$A16,Data!$F$2:$F$60,"uncommenced_leases")/1000)</f>
        <v/>
      </c>
      <c r="F16" s="11">
        <f>IF(COUNTIFS(Data!$A$2:$A$60,"NVDA",Data!$D$2:$D$60,$A16,Data!$F$2:$F$60,"uncommenced_leases")=0,"",SUMIFS(Data!$H$2:$H$60,Data!$A$2:$A$60,"NVDA",Data!$D$2:$D$60,$A16,Data!$F$2:$F$60,"uncommenced_leases")/1000)</f>
        <v/>
      </c>
      <c r="G16" s="11">
        <f>IF(COUNTIFS(Data!$A$2:$A$60,"ORCL",Data!$D$2:$D$60,$A16,Data!$F$2:$F$60,"uncommenced_leases")=0,"",SUMIFS(Data!$H$2:$H$60,Data!$A$2:$A$60,"ORCL",Data!$D$2:$D$60,$A16,Data!$F$2:$F$60,"uncommenced_leases")/1000)</f>
        <v/>
      </c>
      <c r="H16" s="12">
        <f>IF(COUNT(B16:G16)=0,"",SUM(B16:G16))</f>
        <v/>
      </c>
      <c r="I16" s="13">
        <f>COUNT(B16:G16)&amp;" of 6"</f>
        <v/>
      </c>
    </row>
    <row r="18">
      <c r="A18" s="2" t="inlineStr">
        <is>
          <t>Change over the period</t>
        </is>
      </c>
      <c r="B18" s="14">
        <f>IF(OR(B16="",COUNT(B5:B16)&lt;2),"",B16-INDEX(B5:B16,MATCH(TRUE,INDEX(B5:B16&lt;&gt;"",0),0)))</f>
        <v/>
      </c>
      <c r="C18" s="14">
        <f>IF(OR(C16="",COUNT(C5:C16)&lt;2),"",C16-INDEX(C5:C16,MATCH(TRUE,INDEX(C5:C16&lt;&gt;"",0),0)))</f>
        <v/>
      </c>
      <c r="D18" s="14">
        <f>IF(OR(D16="",COUNT(D5:D16)&lt;2),"",D16-INDEX(D5:D16,MATCH(TRUE,INDEX(D5:D16&lt;&gt;"",0),0)))</f>
        <v/>
      </c>
      <c r="E18" s="14">
        <f>IF(OR(E16="",COUNT(E5:E16)&lt;2),"",E16-INDEX(E5:E16,MATCH(TRUE,INDEX(E5:E16&lt;&gt;"",0),0)))</f>
        <v/>
      </c>
      <c r="F18" s="14">
        <f>IF(OR(F16="",COUNT(F5:F16)&lt;2),"",F16-INDEX(F5:F16,MATCH(TRUE,INDEX(F5:F16&lt;&gt;"",0),0)))</f>
        <v/>
      </c>
      <c r="G18" s="14">
        <f>IF(OR(G16="",COUNT(G5:G16)&lt;2),"",G16-INDEX(G5:G16,MATCH(TRUE,INDEX(G5:G16&lt;&gt;"",0),0)))</f>
        <v/>
      </c>
    </row>
    <row r="19">
      <c r="A19" s="10" t="inlineStr">
        <is>
          <t>Latest less the first quarter that company disclosed, so it is not comparable across columns with different start dates.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1" customWidth="1" min="9" max="9"/>
  </cols>
  <sheetData>
    <row r="1">
      <c r="A1" s="1" t="inlineStr">
        <is>
          <t>Purchase commitments</t>
        </is>
      </c>
    </row>
    <row r="2">
      <c r="A2" s="10" t="inlineStr">
        <is>
          <t>USD billions. Blank = not disclosed / not sourced; never treated as zero.</t>
        </is>
      </c>
    </row>
    <row r="4" ht="28" customHeight="1">
      <c r="A4" s="6" t="inlineStr">
        <is>
          <t>Calendar quarter</t>
        </is>
      </c>
      <c r="B4" s="6" t="inlineStr">
        <is>
          <t>GOOGL</t>
        </is>
      </c>
      <c r="C4" s="6" t="inlineStr">
        <is>
          <t>MSFT</t>
        </is>
      </c>
      <c r="D4" s="6" t="inlineStr">
        <is>
          <t>META</t>
        </is>
      </c>
      <c r="E4" s="6" t="inlineStr">
        <is>
          <t>AMZN</t>
        </is>
      </c>
      <c r="F4" s="6" t="inlineStr">
        <is>
          <t>NVDA</t>
        </is>
      </c>
      <c r="G4" s="6" t="inlineStr">
        <is>
          <t>ORCL</t>
        </is>
      </c>
      <c r="H4" s="6" t="inlineStr">
        <is>
          <t>Total</t>
        </is>
      </c>
      <c r="I4" s="6" t="inlineStr">
        <is>
          <t>Reported</t>
        </is>
      </c>
    </row>
    <row r="5">
      <c r="A5" s="4" t="inlineStr">
        <is>
          <t>2023Q3</t>
        </is>
      </c>
      <c r="B5" s="11">
        <f>IF(COUNTIFS(Data!$A$2:$A$60,"GOOGL",Data!$D$2:$D$60,$A5,Data!$F$2:$F$60,"purchase_commitments")=0,"",SUMIFS(Data!$H$2:$H$60,Data!$A$2:$A$60,"GOOGL",Data!$D$2:$D$60,$A5,Data!$F$2:$F$60,"purchase_commitments")/1000)</f>
        <v/>
      </c>
      <c r="C5" s="11">
        <f>IF(COUNTIFS(Data!$A$2:$A$60,"MSFT",Data!$D$2:$D$60,$A5,Data!$F$2:$F$60,"purchase_commitments")=0,"",SUMIFS(Data!$H$2:$H$60,Data!$A$2:$A$60,"MSFT",Data!$D$2:$D$60,$A5,Data!$F$2:$F$60,"purchase_commitments")/1000)</f>
        <v/>
      </c>
      <c r="D5" s="11">
        <f>IF(COUNTIFS(Data!$A$2:$A$60,"META",Data!$D$2:$D$60,$A5,Data!$F$2:$F$60,"purchase_commitments")=0,"",SUMIFS(Data!$H$2:$H$60,Data!$A$2:$A$60,"META",Data!$D$2:$D$60,$A5,Data!$F$2:$F$60,"purchase_commitments")/1000)</f>
        <v/>
      </c>
      <c r="E5" s="11">
        <f>IF(COUNTIFS(Data!$A$2:$A$60,"AMZN",Data!$D$2:$D$60,$A5,Data!$F$2:$F$60,"purchase_commitments")=0,"",SUMIFS(Data!$H$2:$H$60,Data!$A$2:$A$60,"AMZN",Data!$D$2:$D$60,$A5,Data!$F$2:$F$60,"purchase_commitments")/1000)</f>
        <v/>
      </c>
      <c r="F5" s="11">
        <f>IF(COUNTIFS(Data!$A$2:$A$60,"NVDA",Data!$D$2:$D$60,$A5,Data!$F$2:$F$60,"purchase_commitments")=0,"",SUMIFS(Data!$H$2:$H$60,Data!$A$2:$A$60,"NVDA",Data!$D$2:$D$60,$A5,Data!$F$2:$F$60,"purchase_commitments")/1000)</f>
        <v/>
      </c>
      <c r="G5" s="11">
        <f>IF(COUNTIFS(Data!$A$2:$A$60,"ORCL",Data!$D$2:$D$60,$A5,Data!$F$2:$F$60,"purchase_commitments")=0,"",SUMIFS(Data!$H$2:$H$60,Data!$A$2:$A$60,"ORCL",Data!$D$2:$D$60,$A5,Data!$F$2:$F$60,"purchase_commitments")/1000)</f>
        <v/>
      </c>
      <c r="H5" s="12">
        <f>IF(COUNT(B5:G5)=0,"",SUM(B5:G5))</f>
        <v/>
      </c>
      <c r="I5" s="13">
        <f>COUNT(B5:G5)&amp;" of 6"</f>
        <v/>
      </c>
    </row>
    <row r="6">
      <c r="A6" s="4" t="inlineStr">
        <is>
          <t>2023Q4</t>
        </is>
      </c>
      <c r="B6" s="11">
        <f>IF(COUNTIFS(Data!$A$2:$A$60,"GOOGL",Data!$D$2:$D$60,$A6,Data!$F$2:$F$60,"purchase_commitments")=0,"",SUMIFS(Data!$H$2:$H$60,Data!$A$2:$A$60,"GOOGL",Data!$D$2:$D$60,$A6,Data!$F$2:$F$60,"purchase_commitments")/1000)</f>
        <v/>
      </c>
      <c r="C6" s="11">
        <f>IF(COUNTIFS(Data!$A$2:$A$60,"MSFT",Data!$D$2:$D$60,$A6,Data!$F$2:$F$60,"purchase_commitments")=0,"",SUMIFS(Data!$H$2:$H$60,Data!$A$2:$A$60,"MSFT",Data!$D$2:$D$60,$A6,Data!$F$2:$F$60,"purchase_commitments")/1000)</f>
        <v/>
      </c>
      <c r="D6" s="11">
        <f>IF(COUNTIFS(Data!$A$2:$A$60,"META",Data!$D$2:$D$60,$A6,Data!$F$2:$F$60,"purchase_commitments")=0,"",SUMIFS(Data!$H$2:$H$60,Data!$A$2:$A$60,"META",Data!$D$2:$D$60,$A6,Data!$F$2:$F$60,"purchase_commitments")/1000)</f>
        <v/>
      </c>
      <c r="E6" s="11">
        <f>IF(COUNTIFS(Data!$A$2:$A$60,"AMZN",Data!$D$2:$D$60,$A6,Data!$F$2:$F$60,"purchase_commitments")=0,"",SUMIFS(Data!$H$2:$H$60,Data!$A$2:$A$60,"AMZN",Data!$D$2:$D$60,$A6,Data!$F$2:$F$60,"purchase_commitments")/1000)</f>
        <v/>
      </c>
      <c r="F6" s="11">
        <f>IF(COUNTIFS(Data!$A$2:$A$60,"NVDA",Data!$D$2:$D$60,$A6,Data!$F$2:$F$60,"purchase_commitments")=0,"",SUMIFS(Data!$H$2:$H$60,Data!$A$2:$A$60,"NVDA",Data!$D$2:$D$60,$A6,Data!$F$2:$F$60,"purchase_commitments")/1000)</f>
        <v/>
      </c>
      <c r="G6" s="11">
        <f>IF(COUNTIFS(Data!$A$2:$A$60,"ORCL",Data!$D$2:$D$60,$A6,Data!$F$2:$F$60,"purchase_commitments")=0,"",SUMIFS(Data!$H$2:$H$60,Data!$A$2:$A$60,"ORCL",Data!$D$2:$D$60,$A6,Data!$F$2:$F$60,"purchase_commitments")/1000)</f>
        <v/>
      </c>
      <c r="H6" s="12">
        <f>IF(COUNT(B6:G6)=0,"",SUM(B6:G6))</f>
        <v/>
      </c>
      <c r="I6" s="13">
        <f>COUNT(B6:G6)&amp;" of 6"</f>
        <v/>
      </c>
    </row>
    <row r="7">
      <c r="A7" s="4" t="inlineStr">
        <is>
          <t>2024Q1</t>
        </is>
      </c>
      <c r="B7" s="11">
        <f>IF(COUNTIFS(Data!$A$2:$A$60,"GOOGL",Data!$D$2:$D$60,$A7,Data!$F$2:$F$60,"purchase_commitments")=0,"",SUMIFS(Data!$H$2:$H$60,Data!$A$2:$A$60,"GOOGL",Data!$D$2:$D$60,$A7,Data!$F$2:$F$60,"purchase_commitments")/1000)</f>
        <v/>
      </c>
      <c r="C7" s="11">
        <f>IF(COUNTIFS(Data!$A$2:$A$60,"MSFT",Data!$D$2:$D$60,$A7,Data!$F$2:$F$60,"purchase_commitments")=0,"",SUMIFS(Data!$H$2:$H$60,Data!$A$2:$A$60,"MSFT",Data!$D$2:$D$60,$A7,Data!$F$2:$F$60,"purchase_commitments")/1000)</f>
        <v/>
      </c>
      <c r="D7" s="11">
        <f>IF(COUNTIFS(Data!$A$2:$A$60,"META",Data!$D$2:$D$60,$A7,Data!$F$2:$F$60,"purchase_commitments")=0,"",SUMIFS(Data!$H$2:$H$60,Data!$A$2:$A$60,"META",Data!$D$2:$D$60,$A7,Data!$F$2:$F$60,"purchase_commitments")/1000)</f>
        <v/>
      </c>
      <c r="E7" s="11">
        <f>IF(COUNTIFS(Data!$A$2:$A$60,"AMZN",Data!$D$2:$D$60,$A7,Data!$F$2:$F$60,"purchase_commitments")=0,"",SUMIFS(Data!$H$2:$H$60,Data!$A$2:$A$60,"AMZN",Data!$D$2:$D$60,$A7,Data!$F$2:$F$60,"purchase_commitments")/1000)</f>
        <v/>
      </c>
      <c r="F7" s="11">
        <f>IF(COUNTIFS(Data!$A$2:$A$60,"NVDA",Data!$D$2:$D$60,$A7,Data!$F$2:$F$60,"purchase_commitments")=0,"",SUMIFS(Data!$H$2:$H$60,Data!$A$2:$A$60,"NVDA",Data!$D$2:$D$60,$A7,Data!$F$2:$F$60,"purchase_commitments")/1000)</f>
        <v/>
      </c>
      <c r="G7" s="11">
        <f>IF(COUNTIFS(Data!$A$2:$A$60,"ORCL",Data!$D$2:$D$60,$A7,Data!$F$2:$F$60,"purchase_commitments")=0,"",SUMIFS(Data!$H$2:$H$60,Data!$A$2:$A$60,"ORCL",Data!$D$2:$D$60,$A7,Data!$F$2:$F$60,"purchase_commitments")/1000)</f>
        <v/>
      </c>
      <c r="H7" s="12">
        <f>IF(COUNT(B7:G7)=0,"",SUM(B7:G7))</f>
        <v/>
      </c>
      <c r="I7" s="13">
        <f>COUNT(B7:G7)&amp;" of 6"</f>
        <v/>
      </c>
    </row>
    <row r="8">
      <c r="A8" s="4" t="inlineStr">
        <is>
          <t>2024Q2</t>
        </is>
      </c>
      <c r="B8" s="11">
        <f>IF(COUNTIFS(Data!$A$2:$A$60,"GOOGL",Data!$D$2:$D$60,$A8,Data!$F$2:$F$60,"purchase_commitments")=0,"",SUMIFS(Data!$H$2:$H$60,Data!$A$2:$A$60,"GOOGL",Data!$D$2:$D$60,$A8,Data!$F$2:$F$60,"purchase_commitments")/1000)</f>
        <v/>
      </c>
      <c r="C8" s="11">
        <f>IF(COUNTIFS(Data!$A$2:$A$60,"MSFT",Data!$D$2:$D$60,$A8,Data!$F$2:$F$60,"purchase_commitments")=0,"",SUMIFS(Data!$H$2:$H$60,Data!$A$2:$A$60,"MSFT",Data!$D$2:$D$60,$A8,Data!$F$2:$F$60,"purchase_commitments")/1000)</f>
        <v/>
      </c>
      <c r="D8" s="11">
        <f>IF(COUNTIFS(Data!$A$2:$A$60,"META",Data!$D$2:$D$60,$A8,Data!$F$2:$F$60,"purchase_commitments")=0,"",SUMIFS(Data!$H$2:$H$60,Data!$A$2:$A$60,"META",Data!$D$2:$D$60,$A8,Data!$F$2:$F$60,"purchase_commitments")/1000)</f>
        <v/>
      </c>
      <c r="E8" s="11">
        <f>IF(COUNTIFS(Data!$A$2:$A$60,"AMZN",Data!$D$2:$D$60,$A8,Data!$F$2:$F$60,"purchase_commitments")=0,"",SUMIFS(Data!$H$2:$H$60,Data!$A$2:$A$60,"AMZN",Data!$D$2:$D$60,$A8,Data!$F$2:$F$60,"purchase_commitments")/1000)</f>
        <v/>
      </c>
      <c r="F8" s="11">
        <f>IF(COUNTIFS(Data!$A$2:$A$60,"NVDA",Data!$D$2:$D$60,$A8,Data!$F$2:$F$60,"purchase_commitments")=0,"",SUMIFS(Data!$H$2:$H$60,Data!$A$2:$A$60,"NVDA",Data!$D$2:$D$60,$A8,Data!$F$2:$F$60,"purchase_commitments")/1000)</f>
        <v/>
      </c>
      <c r="G8" s="11">
        <f>IF(COUNTIFS(Data!$A$2:$A$60,"ORCL",Data!$D$2:$D$60,$A8,Data!$F$2:$F$60,"purchase_commitments")=0,"",SUMIFS(Data!$H$2:$H$60,Data!$A$2:$A$60,"ORCL",Data!$D$2:$D$60,$A8,Data!$F$2:$F$60,"purchase_commitments")/1000)</f>
        <v/>
      </c>
      <c r="H8" s="12">
        <f>IF(COUNT(B8:G8)=0,"",SUM(B8:G8))</f>
        <v/>
      </c>
      <c r="I8" s="13">
        <f>COUNT(B8:G8)&amp;" of 6"</f>
        <v/>
      </c>
    </row>
    <row r="9">
      <c r="A9" s="4" t="inlineStr">
        <is>
          <t>2024Q3</t>
        </is>
      </c>
      <c r="B9" s="11">
        <f>IF(COUNTIFS(Data!$A$2:$A$60,"GOOGL",Data!$D$2:$D$60,$A9,Data!$F$2:$F$60,"purchase_commitments")=0,"",SUMIFS(Data!$H$2:$H$60,Data!$A$2:$A$60,"GOOGL",Data!$D$2:$D$60,$A9,Data!$F$2:$F$60,"purchase_commitments")/1000)</f>
        <v/>
      </c>
      <c r="C9" s="11">
        <f>IF(COUNTIFS(Data!$A$2:$A$60,"MSFT",Data!$D$2:$D$60,$A9,Data!$F$2:$F$60,"purchase_commitments")=0,"",SUMIFS(Data!$H$2:$H$60,Data!$A$2:$A$60,"MSFT",Data!$D$2:$D$60,$A9,Data!$F$2:$F$60,"purchase_commitments")/1000)</f>
        <v/>
      </c>
      <c r="D9" s="11">
        <f>IF(COUNTIFS(Data!$A$2:$A$60,"META",Data!$D$2:$D$60,$A9,Data!$F$2:$F$60,"purchase_commitments")=0,"",SUMIFS(Data!$H$2:$H$60,Data!$A$2:$A$60,"META",Data!$D$2:$D$60,$A9,Data!$F$2:$F$60,"purchase_commitments")/1000)</f>
        <v/>
      </c>
      <c r="E9" s="11">
        <f>IF(COUNTIFS(Data!$A$2:$A$60,"AMZN",Data!$D$2:$D$60,$A9,Data!$F$2:$F$60,"purchase_commitments")=0,"",SUMIFS(Data!$H$2:$H$60,Data!$A$2:$A$60,"AMZN",Data!$D$2:$D$60,$A9,Data!$F$2:$F$60,"purchase_commitments")/1000)</f>
        <v/>
      </c>
      <c r="F9" s="11">
        <f>IF(COUNTIFS(Data!$A$2:$A$60,"NVDA",Data!$D$2:$D$60,$A9,Data!$F$2:$F$60,"purchase_commitments")=0,"",SUMIFS(Data!$H$2:$H$60,Data!$A$2:$A$60,"NVDA",Data!$D$2:$D$60,$A9,Data!$F$2:$F$60,"purchase_commitments")/1000)</f>
        <v/>
      </c>
      <c r="G9" s="11">
        <f>IF(COUNTIFS(Data!$A$2:$A$60,"ORCL",Data!$D$2:$D$60,$A9,Data!$F$2:$F$60,"purchase_commitments")=0,"",SUMIFS(Data!$H$2:$H$60,Data!$A$2:$A$60,"ORCL",Data!$D$2:$D$60,$A9,Data!$F$2:$F$60,"purchase_commitments")/1000)</f>
        <v/>
      </c>
      <c r="H9" s="12">
        <f>IF(COUNT(B9:G9)=0,"",SUM(B9:G9))</f>
        <v/>
      </c>
      <c r="I9" s="13">
        <f>COUNT(B9:G9)&amp;" of 6"</f>
        <v/>
      </c>
    </row>
    <row r="10">
      <c r="A10" s="4" t="inlineStr">
        <is>
          <t>2024Q4</t>
        </is>
      </c>
      <c r="B10" s="11">
        <f>IF(COUNTIFS(Data!$A$2:$A$60,"GOOGL",Data!$D$2:$D$60,$A10,Data!$F$2:$F$60,"purchase_commitments")=0,"",SUMIFS(Data!$H$2:$H$60,Data!$A$2:$A$60,"GOOGL",Data!$D$2:$D$60,$A10,Data!$F$2:$F$60,"purchase_commitments")/1000)</f>
        <v/>
      </c>
      <c r="C10" s="11">
        <f>IF(COUNTIFS(Data!$A$2:$A$60,"MSFT",Data!$D$2:$D$60,$A10,Data!$F$2:$F$60,"purchase_commitments")=0,"",SUMIFS(Data!$H$2:$H$60,Data!$A$2:$A$60,"MSFT",Data!$D$2:$D$60,$A10,Data!$F$2:$F$60,"purchase_commitments")/1000)</f>
        <v/>
      </c>
      <c r="D10" s="11">
        <f>IF(COUNTIFS(Data!$A$2:$A$60,"META",Data!$D$2:$D$60,$A10,Data!$F$2:$F$60,"purchase_commitments")=0,"",SUMIFS(Data!$H$2:$H$60,Data!$A$2:$A$60,"META",Data!$D$2:$D$60,$A10,Data!$F$2:$F$60,"purchase_commitments")/1000)</f>
        <v/>
      </c>
      <c r="E10" s="11">
        <f>IF(COUNTIFS(Data!$A$2:$A$60,"AMZN",Data!$D$2:$D$60,$A10,Data!$F$2:$F$60,"purchase_commitments")=0,"",SUMIFS(Data!$H$2:$H$60,Data!$A$2:$A$60,"AMZN",Data!$D$2:$D$60,$A10,Data!$F$2:$F$60,"purchase_commitments")/1000)</f>
        <v/>
      </c>
      <c r="F10" s="11">
        <f>IF(COUNTIFS(Data!$A$2:$A$60,"NVDA",Data!$D$2:$D$60,$A10,Data!$F$2:$F$60,"purchase_commitments")=0,"",SUMIFS(Data!$H$2:$H$60,Data!$A$2:$A$60,"NVDA",Data!$D$2:$D$60,$A10,Data!$F$2:$F$60,"purchase_commitments")/1000)</f>
        <v/>
      </c>
      <c r="G10" s="11">
        <f>IF(COUNTIFS(Data!$A$2:$A$60,"ORCL",Data!$D$2:$D$60,$A10,Data!$F$2:$F$60,"purchase_commitments")=0,"",SUMIFS(Data!$H$2:$H$60,Data!$A$2:$A$60,"ORCL",Data!$D$2:$D$60,$A10,Data!$F$2:$F$60,"purchase_commitments")/1000)</f>
        <v/>
      </c>
      <c r="H10" s="12">
        <f>IF(COUNT(B10:G10)=0,"",SUM(B10:G10))</f>
        <v/>
      </c>
      <c r="I10" s="13">
        <f>COUNT(B10:G10)&amp;" of 6"</f>
        <v/>
      </c>
    </row>
    <row r="11">
      <c r="A11" s="4" t="inlineStr">
        <is>
          <t>2025Q1</t>
        </is>
      </c>
      <c r="B11" s="11">
        <f>IF(COUNTIFS(Data!$A$2:$A$60,"GOOGL",Data!$D$2:$D$60,$A11,Data!$F$2:$F$60,"purchase_commitments")=0,"",SUMIFS(Data!$H$2:$H$60,Data!$A$2:$A$60,"GOOGL",Data!$D$2:$D$60,$A11,Data!$F$2:$F$60,"purchase_commitments")/1000)</f>
        <v/>
      </c>
      <c r="C11" s="11">
        <f>IF(COUNTIFS(Data!$A$2:$A$60,"MSFT",Data!$D$2:$D$60,$A11,Data!$F$2:$F$60,"purchase_commitments")=0,"",SUMIFS(Data!$H$2:$H$60,Data!$A$2:$A$60,"MSFT",Data!$D$2:$D$60,$A11,Data!$F$2:$F$60,"purchase_commitments")/1000)</f>
        <v/>
      </c>
      <c r="D11" s="11">
        <f>IF(COUNTIFS(Data!$A$2:$A$60,"META",Data!$D$2:$D$60,$A11,Data!$F$2:$F$60,"purchase_commitments")=0,"",SUMIFS(Data!$H$2:$H$60,Data!$A$2:$A$60,"META",Data!$D$2:$D$60,$A11,Data!$F$2:$F$60,"purchase_commitments")/1000)</f>
        <v/>
      </c>
      <c r="E11" s="11">
        <f>IF(COUNTIFS(Data!$A$2:$A$60,"AMZN",Data!$D$2:$D$60,$A11,Data!$F$2:$F$60,"purchase_commitments")=0,"",SUMIFS(Data!$H$2:$H$60,Data!$A$2:$A$60,"AMZN",Data!$D$2:$D$60,$A11,Data!$F$2:$F$60,"purchase_commitments")/1000)</f>
        <v/>
      </c>
      <c r="F11" s="11">
        <f>IF(COUNTIFS(Data!$A$2:$A$60,"NVDA",Data!$D$2:$D$60,$A11,Data!$F$2:$F$60,"purchase_commitments")=0,"",SUMIFS(Data!$H$2:$H$60,Data!$A$2:$A$60,"NVDA",Data!$D$2:$D$60,$A11,Data!$F$2:$F$60,"purchase_commitments")/1000)</f>
        <v/>
      </c>
      <c r="G11" s="11">
        <f>IF(COUNTIFS(Data!$A$2:$A$60,"ORCL",Data!$D$2:$D$60,$A11,Data!$F$2:$F$60,"purchase_commitments")=0,"",SUMIFS(Data!$H$2:$H$60,Data!$A$2:$A$60,"ORCL",Data!$D$2:$D$60,$A11,Data!$F$2:$F$60,"purchase_commitments")/1000)</f>
        <v/>
      </c>
      <c r="H11" s="12">
        <f>IF(COUNT(B11:G11)=0,"",SUM(B11:G11))</f>
        <v/>
      </c>
      <c r="I11" s="13">
        <f>COUNT(B11:G11)&amp;" of 6"</f>
        <v/>
      </c>
    </row>
    <row r="12">
      <c r="A12" s="4" t="inlineStr">
        <is>
          <t>2025Q2</t>
        </is>
      </c>
      <c r="B12" s="11">
        <f>IF(COUNTIFS(Data!$A$2:$A$60,"GOOGL",Data!$D$2:$D$60,$A12,Data!$F$2:$F$60,"purchase_commitments")=0,"",SUMIFS(Data!$H$2:$H$60,Data!$A$2:$A$60,"GOOGL",Data!$D$2:$D$60,$A12,Data!$F$2:$F$60,"purchase_commitments")/1000)</f>
        <v/>
      </c>
      <c r="C12" s="11">
        <f>IF(COUNTIFS(Data!$A$2:$A$60,"MSFT",Data!$D$2:$D$60,$A12,Data!$F$2:$F$60,"purchase_commitments")=0,"",SUMIFS(Data!$H$2:$H$60,Data!$A$2:$A$60,"MSFT",Data!$D$2:$D$60,$A12,Data!$F$2:$F$60,"purchase_commitments")/1000)</f>
        <v/>
      </c>
      <c r="D12" s="11">
        <f>IF(COUNTIFS(Data!$A$2:$A$60,"META",Data!$D$2:$D$60,$A12,Data!$F$2:$F$60,"purchase_commitments")=0,"",SUMIFS(Data!$H$2:$H$60,Data!$A$2:$A$60,"META",Data!$D$2:$D$60,$A12,Data!$F$2:$F$60,"purchase_commitments")/1000)</f>
        <v/>
      </c>
      <c r="E12" s="11">
        <f>IF(COUNTIFS(Data!$A$2:$A$60,"AMZN",Data!$D$2:$D$60,$A12,Data!$F$2:$F$60,"purchase_commitments")=0,"",SUMIFS(Data!$H$2:$H$60,Data!$A$2:$A$60,"AMZN",Data!$D$2:$D$60,$A12,Data!$F$2:$F$60,"purchase_commitments")/1000)</f>
        <v/>
      </c>
      <c r="F12" s="11">
        <f>IF(COUNTIFS(Data!$A$2:$A$60,"NVDA",Data!$D$2:$D$60,$A12,Data!$F$2:$F$60,"purchase_commitments")=0,"",SUMIFS(Data!$H$2:$H$60,Data!$A$2:$A$60,"NVDA",Data!$D$2:$D$60,$A12,Data!$F$2:$F$60,"purchase_commitments")/1000)</f>
        <v/>
      </c>
      <c r="G12" s="11">
        <f>IF(COUNTIFS(Data!$A$2:$A$60,"ORCL",Data!$D$2:$D$60,$A12,Data!$F$2:$F$60,"purchase_commitments")=0,"",SUMIFS(Data!$H$2:$H$60,Data!$A$2:$A$60,"ORCL",Data!$D$2:$D$60,$A12,Data!$F$2:$F$60,"purchase_commitments")/1000)</f>
        <v/>
      </c>
      <c r="H12" s="12">
        <f>IF(COUNT(B12:G12)=0,"",SUM(B12:G12))</f>
        <v/>
      </c>
      <c r="I12" s="13">
        <f>COUNT(B12:G12)&amp;" of 6"</f>
        <v/>
      </c>
    </row>
    <row r="13">
      <c r="A13" s="4" t="inlineStr">
        <is>
          <t>2025Q3</t>
        </is>
      </c>
      <c r="B13" s="11">
        <f>IF(COUNTIFS(Data!$A$2:$A$60,"GOOGL",Data!$D$2:$D$60,$A13,Data!$F$2:$F$60,"purchase_commitments")=0,"",SUMIFS(Data!$H$2:$H$60,Data!$A$2:$A$60,"GOOGL",Data!$D$2:$D$60,$A13,Data!$F$2:$F$60,"purchase_commitments")/1000)</f>
        <v/>
      </c>
      <c r="C13" s="11">
        <f>IF(COUNTIFS(Data!$A$2:$A$60,"MSFT",Data!$D$2:$D$60,$A13,Data!$F$2:$F$60,"purchase_commitments")=0,"",SUMIFS(Data!$H$2:$H$60,Data!$A$2:$A$60,"MSFT",Data!$D$2:$D$60,$A13,Data!$F$2:$F$60,"purchase_commitments")/1000)</f>
        <v/>
      </c>
      <c r="D13" s="11">
        <f>IF(COUNTIFS(Data!$A$2:$A$60,"META",Data!$D$2:$D$60,$A13,Data!$F$2:$F$60,"purchase_commitments")=0,"",SUMIFS(Data!$H$2:$H$60,Data!$A$2:$A$60,"META",Data!$D$2:$D$60,$A13,Data!$F$2:$F$60,"purchase_commitments")/1000)</f>
        <v/>
      </c>
      <c r="E13" s="11">
        <f>IF(COUNTIFS(Data!$A$2:$A$60,"AMZN",Data!$D$2:$D$60,$A13,Data!$F$2:$F$60,"purchase_commitments")=0,"",SUMIFS(Data!$H$2:$H$60,Data!$A$2:$A$60,"AMZN",Data!$D$2:$D$60,$A13,Data!$F$2:$F$60,"purchase_commitments")/1000)</f>
        <v/>
      </c>
      <c r="F13" s="11">
        <f>IF(COUNTIFS(Data!$A$2:$A$60,"NVDA",Data!$D$2:$D$60,$A13,Data!$F$2:$F$60,"purchase_commitments")=0,"",SUMIFS(Data!$H$2:$H$60,Data!$A$2:$A$60,"NVDA",Data!$D$2:$D$60,$A13,Data!$F$2:$F$60,"purchase_commitments")/1000)</f>
        <v/>
      </c>
      <c r="G13" s="11">
        <f>IF(COUNTIFS(Data!$A$2:$A$60,"ORCL",Data!$D$2:$D$60,$A13,Data!$F$2:$F$60,"purchase_commitments")=0,"",SUMIFS(Data!$H$2:$H$60,Data!$A$2:$A$60,"ORCL",Data!$D$2:$D$60,$A13,Data!$F$2:$F$60,"purchase_commitments")/1000)</f>
        <v/>
      </c>
      <c r="H13" s="12">
        <f>IF(COUNT(B13:G13)=0,"",SUM(B13:G13))</f>
        <v/>
      </c>
      <c r="I13" s="13">
        <f>COUNT(B13:G13)&amp;" of 6"</f>
        <v/>
      </c>
    </row>
    <row r="14">
      <c r="A14" s="4" t="inlineStr">
        <is>
          <t>2025Q4</t>
        </is>
      </c>
      <c r="B14" s="11">
        <f>IF(COUNTIFS(Data!$A$2:$A$60,"GOOGL",Data!$D$2:$D$60,$A14,Data!$F$2:$F$60,"purchase_commitments")=0,"",SUMIFS(Data!$H$2:$H$60,Data!$A$2:$A$60,"GOOGL",Data!$D$2:$D$60,$A14,Data!$F$2:$F$60,"purchase_commitments")/1000)</f>
        <v/>
      </c>
      <c r="C14" s="11">
        <f>IF(COUNTIFS(Data!$A$2:$A$60,"MSFT",Data!$D$2:$D$60,$A14,Data!$F$2:$F$60,"purchase_commitments")=0,"",SUMIFS(Data!$H$2:$H$60,Data!$A$2:$A$60,"MSFT",Data!$D$2:$D$60,$A14,Data!$F$2:$F$60,"purchase_commitments")/1000)</f>
        <v/>
      </c>
      <c r="D14" s="11">
        <f>IF(COUNTIFS(Data!$A$2:$A$60,"META",Data!$D$2:$D$60,$A14,Data!$F$2:$F$60,"purchase_commitments")=0,"",SUMIFS(Data!$H$2:$H$60,Data!$A$2:$A$60,"META",Data!$D$2:$D$60,$A14,Data!$F$2:$F$60,"purchase_commitments")/1000)</f>
        <v/>
      </c>
      <c r="E14" s="11">
        <f>IF(COUNTIFS(Data!$A$2:$A$60,"AMZN",Data!$D$2:$D$60,$A14,Data!$F$2:$F$60,"purchase_commitments")=0,"",SUMIFS(Data!$H$2:$H$60,Data!$A$2:$A$60,"AMZN",Data!$D$2:$D$60,$A14,Data!$F$2:$F$60,"purchase_commitments")/1000)</f>
        <v/>
      </c>
      <c r="F14" s="11">
        <f>IF(COUNTIFS(Data!$A$2:$A$60,"NVDA",Data!$D$2:$D$60,$A14,Data!$F$2:$F$60,"purchase_commitments")=0,"",SUMIFS(Data!$H$2:$H$60,Data!$A$2:$A$60,"NVDA",Data!$D$2:$D$60,$A14,Data!$F$2:$F$60,"purchase_commitments")/1000)</f>
        <v/>
      </c>
      <c r="G14" s="11">
        <f>IF(COUNTIFS(Data!$A$2:$A$60,"ORCL",Data!$D$2:$D$60,$A14,Data!$F$2:$F$60,"purchase_commitments")=0,"",SUMIFS(Data!$H$2:$H$60,Data!$A$2:$A$60,"ORCL",Data!$D$2:$D$60,$A14,Data!$F$2:$F$60,"purchase_commitments")/1000)</f>
        <v/>
      </c>
      <c r="H14" s="12">
        <f>IF(COUNT(B14:G14)=0,"",SUM(B14:G14))</f>
        <v/>
      </c>
      <c r="I14" s="13">
        <f>COUNT(B14:G14)&amp;" of 6"</f>
        <v/>
      </c>
    </row>
    <row r="15">
      <c r="A15" s="4" t="inlineStr">
        <is>
          <t>2026Q1</t>
        </is>
      </c>
      <c r="B15" s="11">
        <f>IF(COUNTIFS(Data!$A$2:$A$60,"GOOGL",Data!$D$2:$D$60,$A15,Data!$F$2:$F$60,"purchase_commitments")=0,"",SUMIFS(Data!$H$2:$H$60,Data!$A$2:$A$60,"GOOGL",Data!$D$2:$D$60,$A15,Data!$F$2:$F$60,"purchase_commitments")/1000)</f>
        <v/>
      </c>
      <c r="C15" s="11">
        <f>IF(COUNTIFS(Data!$A$2:$A$60,"MSFT",Data!$D$2:$D$60,$A15,Data!$F$2:$F$60,"purchase_commitments")=0,"",SUMIFS(Data!$H$2:$H$60,Data!$A$2:$A$60,"MSFT",Data!$D$2:$D$60,$A15,Data!$F$2:$F$60,"purchase_commitments")/1000)</f>
        <v/>
      </c>
      <c r="D15" s="11">
        <f>IF(COUNTIFS(Data!$A$2:$A$60,"META",Data!$D$2:$D$60,$A15,Data!$F$2:$F$60,"purchase_commitments")=0,"",SUMIFS(Data!$H$2:$H$60,Data!$A$2:$A$60,"META",Data!$D$2:$D$60,$A15,Data!$F$2:$F$60,"purchase_commitments")/1000)</f>
        <v/>
      </c>
      <c r="E15" s="11">
        <f>IF(COUNTIFS(Data!$A$2:$A$60,"AMZN",Data!$D$2:$D$60,$A15,Data!$F$2:$F$60,"purchase_commitments")=0,"",SUMIFS(Data!$H$2:$H$60,Data!$A$2:$A$60,"AMZN",Data!$D$2:$D$60,$A15,Data!$F$2:$F$60,"purchase_commitments")/1000)</f>
        <v/>
      </c>
      <c r="F15" s="11">
        <f>IF(COUNTIFS(Data!$A$2:$A$60,"NVDA",Data!$D$2:$D$60,$A15,Data!$F$2:$F$60,"purchase_commitments")=0,"",SUMIFS(Data!$H$2:$H$60,Data!$A$2:$A$60,"NVDA",Data!$D$2:$D$60,$A15,Data!$F$2:$F$60,"purchase_commitments")/1000)</f>
        <v/>
      </c>
      <c r="G15" s="11">
        <f>IF(COUNTIFS(Data!$A$2:$A$60,"ORCL",Data!$D$2:$D$60,$A15,Data!$F$2:$F$60,"purchase_commitments")=0,"",SUMIFS(Data!$H$2:$H$60,Data!$A$2:$A$60,"ORCL",Data!$D$2:$D$60,$A15,Data!$F$2:$F$60,"purchase_commitments")/1000)</f>
        <v/>
      </c>
      <c r="H15" s="12">
        <f>IF(COUNT(B15:G15)=0,"",SUM(B15:G15))</f>
        <v/>
      </c>
      <c r="I15" s="13">
        <f>COUNT(B15:G15)&amp;" of 6"</f>
        <v/>
      </c>
    </row>
    <row r="16">
      <c r="A16" s="4" t="inlineStr">
        <is>
          <t>2026Q2</t>
        </is>
      </c>
      <c r="B16" s="11">
        <f>IF(COUNTIFS(Data!$A$2:$A$60,"GOOGL",Data!$D$2:$D$60,$A16,Data!$F$2:$F$60,"purchase_commitments")=0,"",SUMIFS(Data!$H$2:$H$60,Data!$A$2:$A$60,"GOOGL",Data!$D$2:$D$60,$A16,Data!$F$2:$F$60,"purchase_commitments")/1000)</f>
        <v/>
      </c>
      <c r="C16" s="11">
        <f>IF(COUNTIFS(Data!$A$2:$A$60,"MSFT",Data!$D$2:$D$60,$A16,Data!$F$2:$F$60,"purchase_commitments")=0,"",SUMIFS(Data!$H$2:$H$60,Data!$A$2:$A$60,"MSFT",Data!$D$2:$D$60,$A16,Data!$F$2:$F$60,"purchase_commitments")/1000)</f>
        <v/>
      </c>
      <c r="D16" s="11">
        <f>IF(COUNTIFS(Data!$A$2:$A$60,"META",Data!$D$2:$D$60,$A16,Data!$F$2:$F$60,"purchase_commitments")=0,"",SUMIFS(Data!$H$2:$H$60,Data!$A$2:$A$60,"META",Data!$D$2:$D$60,$A16,Data!$F$2:$F$60,"purchase_commitments")/1000)</f>
        <v/>
      </c>
      <c r="E16" s="11">
        <f>IF(COUNTIFS(Data!$A$2:$A$60,"AMZN",Data!$D$2:$D$60,$A16,Data!$F$2:$F$60,"purchase_commitments")=0,"",SUMIFS(Data!$H$2:$H$60,Data!$A$2:$A$60,"AMZN",Data!$D$2:$D$60,$A16,Data!$F$2:$F$60,"purchase_commitments")/1000)</f>
        <v/>
      </c>
      <c r="F16" s="11">
        <f>IF(COUNTIFS(Data!$A$2:$A$60,"NVDA",Data!$D$2:$D$60,$A16,Data!$F$2:$F$60,"purchase_commitments")=0,"",SUMIFS(Data!$H$2:$H$60,Data!$A$2:$A$60,"NVDA",Data!$D$2:$D$60,$A16,Data!$F$2:$F$60,"purchase_commitments")/1000)</f>
        <v/>
      </c>
      <c r="G16" s="11">
        <f>IF(COUNTIFS(Data!$A$2:$A$60,"ORCL",Data!$D$2:$D$60,$A16,Data!$F$2:$F$60,"purchase_commitments")=0,"",SUMIFS(Data!$H$2:$H$60,Data!$A$2:$A$60,"ORCL",Data!$D$2:$D$60,$A16,Data!$F$2:$F$60,"purchase_commitments")/1000)</f>
        <v/>
      </c>
      <c r="H16" s="12">
        <f>IF(COUNT(B16:G16)=0,"",SUM(B16:G16))</f>
        <v/>
      </c>
      <c r="I16" s="13">
        <f>COUNT(B16:G16)&amp;" of 6"</f>
        <v/>
      </c>
    </row>
    <row r="18">
      <c r="A18" s="2" t="inlineStr">
        <is>
          <t>Change over the period</t>
        </is>
      </c>
      <c r="B18" s="14">
        <f>IF(OR(B16="",COUNT(B5:B16)&lt;2),"",B16-INDEX(B5:B16,MATCH(TRUE,INDEX(B5:B16&lt;&gt;"",0),0)))</f>
        <v/>
      </c>
      <c r="C18" s="14">
        <f>IF(OR(C16="",COUNT(C5:C16)&lt;2),"",C16-INDEX(C5:C16,MATCH(TRUE,INDEX(C5:C16&lt;&gt;"",0),0)))</f>
        <v/>
      </c>
      <c r="D18" s="14">
        <f>IF(OR(D16="",COUNT(D5:D16)&lt;2),"",D16-INDEX(D5:D16,MATCH(TRUE,INDEX(D5:D16&lt;&gt;"",0),0)))</f>
        <v/>
      </c>
      <c r="E18" s="14">
        <f>IF(OR(E16="",COUNT(E5:E16)&lt;2),"",E16-INDEX(E5:E16,MATCH(TRUE,INDEX(E5:E16&lt;&gt;"",0),0)))</f>
        <v/>
      </c>
      <c r="F18" s="14">
        <f>IF(OR(F16="",COUNT(F5:F16)&lt;2),"",F16-INDEX(F5:F16,MATCH(TRUE,INDEX(F5:F16&lt;&gt;"",0),0)))</f>
        <v/>
      </c>
      <c r="G18" s="14">
        <f>IF(OR(G16="",COUNT(G5:G16)&lt;2),"",G16-INDEX(G5:G16,MATCH(TRUE,INDEX(G5:G16&lt;&gt;"",0),0)))</f>
        <v/>
      </c>
    </row>
    <row r="19">
      <c r="A19" s="10" t="inlineStr">
        <is>
          <t>Latest less the first quarter that company disclosed, so it is not comparable across columns with different start dates.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Uncommenced leases + purchase commitments</t>
        </is>
      </c>
    </row>
    <row r="2">
      <c r="A2" s="10" t="inlineStr">
        <is>
          <t>USD billions. A company is summed only where both legs exist, so a blank here means at least one leg is missing for that quarter.</t>
        </is>
      </c>
    </row>
    <row r="4" ht="28" customHeight="1">
      <c r="A4" s="6" t="inlineStr">
        <is>
          <t>Calendar quarter</t>
        </is>
      </c>
      <c r="B4" s="6" t="inlineStr">
        <is>
          <t>GOOGL</t>
        </is>
      </c>
      <c r="C4" s="6" t="inlineStr">
        <is>
          <t>MSFT</t>
        </is>
      </c>
      <c r="D4" s="6" t="inlineStr">
        <is>
          <t>META</t>
        </is>
      </c>
      <c r="E4" s="6" t="inlineStr">
        <is>
          <t>AMZN</t>
        </is>
      </c>
      <c r="F4" s="6" t="inlineStr">
        <is>
          <t>NVDA</t>
        </is>
      </c>
      <c r="G4" s="6" t="inlineStr">
        <is>
          <t>ORCL</t>
        </is>
      </c>
      <c r="H4" s="6" t="inlineStr">
        <is>
          <t>Total</t>
        </is>
      </c>
    </row>
    <row r="5">
      <c r="A5" s="4" t="inlineStr">
        <is>
          <t>2023Q3</t>
        </is>
      </c>
      <c r="B5" s="11">
        <f>IF(AND('Uncommenced lease commitments'!B5&lt;&gt;"",'Purchase commitments'!B5&lt;&gt;""),'Uncommenced lease commitments'!B5+'Purchase commitments'!B5,"")</f>
        <v/>
      </c>
      <c r="C5" s="11">
        <f>IF(AND('Uncommenced lease commitments'!C5&lt;&gt;"",'Purchase commitments'!C5&lt;&gt;""),'Uncommenced lease commitments'!C5+'Purchase commitments'!C5,"")</f>
        <v/>
      </c>
      <c r="D5" s="11">
        <f>IF(AND('Uncommenced lease commitments'!D5&lt;&gt;"",'Purchase commitments'!D5&lt;&gt;""),'Uncommenced lease commitments'!D5+'Purchase commitments'!D5,"")</f>
        <v/>
      </c>
      <c r="E5" s="11">
        <f>IF(AND('Uncommenced lease commitments'!E5&lt;&gt;"",'Purchase commitments'!E5&lt;&gt;""),'Uncommenced lease commitments'!E5+'Purchase commitments'!E5,"")</f>
        <v/>
      </c>
      <c r="F5" s="11">
        <f>IF(AND('Uncommenced lease commitments'!F5&lt;&gt;"",'Purchase commitments'!F5&lt;&gt;""),'Uncommenced lease commitments'!F5+'Purchase commitments'!F5,"")</f>
        <v/>
      </c>
      <c r="G5" s="11">
        <f>IF(AND('Uncommenced lease commitments'!G5&lt;&gt;"",'Purchase commitments'!G5&lt;&gt;""),'Uncommenced lease commitments'!G5+'Purchase commitments'!G5,"")</f>
        <v/>
      </c>
      <c r="H5" s="12">
        <f>IF(COUNT(B5:G5)=0,"",SUM(B5:G5))</f>
        <v/>
      </c>
    </row>
    <row r="6">
      <c r="A6" s="4" t="inlineStr">
        <is>
          <t>2023Q4</t>
        </is>
      </c>
      <c r="B6" s="11">
        <f>IF(AND('Uncommenced lease commitments'!B6&lt;&gt;"",'Purchase commitments'!B6&lt;&gt;""),'Uncommenced lease commitments'!B6+'Purchase commitments'!B6,"")</f>
        <v/>
      </c>
      <c r="C6" s="11">
        <f>IF(AND('Uncommenced lease commitments'!C6&lt;&gt;"",'Purchase commitments'!C6&lt;&gt;""),'Uncommenced lease commitments'!C6+'Purchase commitments'!C6,"")</f>
        <v/>
      </c>
      <c r="D6" s="11">
        <f>IF(AND('Uncommenced lease commitments'!D6&lt;&gt;"",'Purchase commitments'!D6&lt;&gt;""),'Uncommenced lease commitments'!D6+'Purchase commitments'!D6,"")</f>
        <v/>
      </c>
      <c r="E6" s="11">
        <f>IF(AND('Uncommenced lease commitments'!E6&lt;&gt;"",'Purchase commitments'!E6&lt;&gt;""),'Uncommenced lease commitments'!E6+'Purchase commitments'!E6,"")</f>
        <v/>
      </c>
      <c r="F6" s="11">
        <f>IF(AND('Uncommenced lease commitments'!F6&lt;&gt;"",'Purchase commitments'!F6&lt;&gt;""),'Uncommenced lease commitments'!F6+'Purchase commitments'!F6,"")</f>
        <v/>
      </c>
      <c r="G6" s="11">
        <f>IF(AND('Uncommenced lease commitments'!G6&lt;&gt;"",'Purchase commitments'!G6&lt;&gt;""),'Uncommenced lease commitments'!G6+'Purchase commitments'!G6,"")</f>
        <v/>
      </c>
      <c r="H6" s="12">
        <f>IF(COUNT(B6:G6)=0,"",SUM(B6:G6))</f>
        <v/>
      </c>
    </row>
    <row r="7">
      <c r="A7" s="4" t="inlineStr">
        <is>
          <t>2024Q1</t>
        </is>
      </c>
      <c r="B7" s="11">
        <f>IF(AND('Uncommenced lease commitments'!B7&lt;&gt;"",'Purchase commitments'!B7&lt;&gt;""),'Uncommenced lease commitments'!B7+'Purchase commitments'!B7,"")</f>
        <v/>
      </c>
      <c r="C7" s="11">
        <f>IF(AND('Uncommenced lease commitments'!C7&lt;&gt;"",'Purchase commitments'!C7&lt;&gt;""),'Uncommenced lease commitments'!C7+'Purchase commitments'!C7,"")</f>
        <v/>
      </c>
      <c r="D7" s="11">
        <f>IF(AND('Uncommenced lease commitments'!D7&lt;&gt;"",'Purchase commitments'!D7&lt;&gt;""),'Uncommenced lease commitments'!D7+'Purchase commitments'!D7,"")</f>
        <v/>
      </c>
      <c r="E7" s="11">
        <f>IF(AND('Uncommenced lease commitments'!E7&lt;&gt;"",'Purchase commitments'!E7&lt;&gt;""),'Uncommenced lease commitments'!E7+'Purchase commitments'!E7,"")</f>
        <v/>
      </c>
      <c r="F7" s="11">
        <f>IF(AND('Uncommenced lease commitments'!F7&lt;&gt;"",'Purchase commitments'!F7&lt;&gt;""),'Uncommenced lease commitments'!F7+'Purchase commitments'!F7,"")</f>
        <v/>
      </c>
      <c r="G7" s="11">
        <f>IF(AND('Uncommenced lease commitments'!G7&lt;&gt;"",'Purchase commitments'!G7&lt;&gt;""),'Uncommenced lease commitments'!G7+'Purchase commitments'!G7,"")</f>
        <v/>
      </c>
      <c r="H7" s="12">
        <f>IF(COUNT(B7:G7)=0,"",SUM(B7:G7))</f>
        <v/>
      </c>
    </row>
    <row r="8">
      <c r="A8" s="4" t="inlineStr">
        <is>
          <t>2024Q2</t>
        </is>
      </c>
      <c r="B8" s="11">
        <f>IF(AND('Uncommenced lease commitments'!B8&lt;&gt;"",'Purchase commitments'!B8&lt;&gt;""),'Uncommenced lease commitments'!B8+'Purchase commitments'!B8,"")</f>
        <v/>
      </c>
      <c r="C8" s="11">
        <f>IF(AND('Uncommenced lease commitments'!C8&lt;&gt;"",'Purchase commitments'!C8&lt;&gt;""),'Uncommenced lease commitments'!C8+'Purchase commitments'!C8,"")</f>
        <v/>
      </c>
      <c r="D8" s="11">
        <f>IF(AND('Uncommenced lease commitments'!D8&lt;&gt;"",'Purchase commitments'!D8&lt;&gt;""),'Uncommenced lease commitments'!D8+'Purchase commitments'!D8,"")</f>
        <v/>
      </c>
      <c r="E8" s="11">
        <f>IF(AND('Uncommenced lease commitments'!E8&lt;&gt;"",'Purchase commitments'!E8&lt;&gt;""),'Uncommenced lease commitments'!E8+'Purchase commitments'!E8,"")</f>
        <v/>
      </c>
      <c r="F8" s="11">
        <f>IF(AND('Uncommenced lease commitments'!F8&lt;&gt;"",'Purchase commitments'!F8&lt;&gt;""),'Uncommenced lease commitments'!F8+'Purchase commitments'!F8,"")</f>
        <v/>
      </c>
      <c r="G8" s="11">
        <f>IF(AND('Uncommenced lease commitments'!G8&lt;&gt;"",'Purchase commitments'!G8&lt;&gt;""),'Uncommenced lease commitments'!G8+'Purchase commitments'!G8,"")</f>
        <v/>
      </c>
      <c r="H8" s="12">
        <f>IF(COUNT(B8:G8)=0,"",SUM(B8:G8))</f>
        <v/>
      </c>
    </row>
    <row r="9">
      <c r="A9" s="4" t="inlineStr">
        <is>
          <t>2024Q3</t>
        </is>
      </c>
      <c r="B9" s="11">
        <f>IF(AND('Uncommenced lease commitments'!B9&lt;&gt;"",'Purchase commitments'!B9&lt;&gt;""),'Uncommenced lease commitments'!B9+'Purchase commitments'!B9,"")</f>
        <v/>
      </c>
      <c r="C9" s="11">
        <f>IF(AND('Uncommenced lease commitments'!C9&lt;&gt;"",'Purchase commitments'!C9&lt;&gt;""),'Uncommenced lease commitments'!C9+'Purchase commitments'!C9,"")</f>
        <v/>
      </c>
      <c r="D9" s="11">
        <f>IF(AND('Uncommenced lease commitments'!D9&lt;&gt;"",'Purchase commitments'!D9&lt;&gt;""),'Uncommenced lease commitments'!D9+'Purchase commitments'!D9,"")</f>
        <v/>
      </c>
      <c r="E9" s="11">
        <f>IF(AND('Uncommenced lease commitments'!E9&lt;&gt;"",'Purchase commitments'!E9&lt;&gt;""),'Uncommenced lease commitments'!E9+'Purchase commitments'!E9,"")</f>
        <v/>
      </c>
      <c r="F9" s="11">
        <f>IF(AND('Uncommenced lease commitments'!F9&lt;&gt;"",'Purchase commitments'!F9&lt;&gt;""),'Uncommenced lease commitments'!F9+'Purchase commitments'!F9,"")</f>
        <v/>
      </c>
      <c r="G9" s="11">
        <f>IF(AND('Uncommenced lease commitments'!G9&lt;&gt;"",'Purchase commitments'!G9&lt;&gt;""),'Uncommenced lease commitments'!G9+'Purchase commitments'!G9,"")</f>
        <v/>
      </c>
      <c r="H9" s="12">
        <f>IF(COUNT(B9:G9)=0,"",SUM(B9:G9))</f>
        <v/>
      </c>
    </row>
    <row r="10">
      <c r="A10" s="4" t="inlineStr">
        <is>
          <t>2024Q4</t>
        </is>
      </c>
      <c r="B10" s="11">
        <f>IF(AND('Uncommenced lease commitments'!B10&lt;&gt;"",'Purchase commitments'!B10&lt;&gt;""),'Uncommenced lease commitments'!B10+'Purchase commitments'!B10,"")</f>
        <v/>
      </c>
      <c r="C10" s="11">
        <f>IF(AND('Uncommenced lease commitments'!C10&lt;&gt;"",'Purchase commitments'!C10&lt;&gt;""),'Uncommenced lease commitments'!C10+'Purchase commitments'!C10,"")</f>
        <v/>
      </c>
      <c r="D10" s="11">
        <f>IF(AND('Uncommenced lease commitments'!D10&lt;&gt;"",'Purchase commitments'!D10&lt;&gt;""),'Uncommenced lease commitments'!D10+'Purchase commitments'!D10,"")</f>
        <v/>
      </c>
      <c r="E10" s="11">
        <f>IF(AND('Uncommenced lease commitments'!E10&lt;&gt;"",'Purchase commitments'!E10&lt;&gt;""),'Uncommenced lease commitments'!E10+'Purchase commitments'!E10,"")</f>
        <v/>
      </c>
      <c r="F10" s="11">
        <f>IF(AND('Uncommenced lease commitments'!F10&lt;&gt;"",'Purchase commitments'!F10&lt;&gt;""),'Uncommenced lease commitments'!F10+'Purchase commitments'!F10,"")</f>
        <v/>
      </c>
      <c r="G10" s="11">
        <f>IF(AND('Uncommenced lease commitments'!G10&lt;&gt;"",'Purchase commitments'!G10&lt;&gt;""),'Uncommenced lease commitments'!G10+'Purchase commitments'!G10,"")</f>
        <v/>
      </c>
      <c r="H10" s="12">
        <f>IF(COUNT(B10:G10)=0,"",SUM(B10:G10))</f>
        <v/>
      </c>
    </row>
    <row r="11">
      <c r="A11" s="4" t="inlineStr">
        <is>
          <t>2025Q1</t>
        </is>
      </c>
      <c r="B11" s="11">
        <f>IF(AND('Uncommenced lease commitments'!B11&lt;&gt;"",'Purchase commitments'!B11&lt;&gt;""),'Uncommenced lease commitments'!B11+'Purchase commitments'!B11,"")</f>
        <v/>
      </c>
      <c r="C11" s="11">
        <f>IF(AND('Uncommenced lease commitments'!C11&lt;&gt;"",'Purchase commitments'!C11&lt;&gt;""),'Uncommenced lease commitments'!C11+'Purchase commitments'!C11,"")</f>
        <v/>
      </c>
      <c r="D11" s="11">
        <f>IF(AND('Uncommenced lease commitments'!D11&lt;&gt;"",'Purchase commitments'!D11&lt;&gt;""),'Uncommenced lease commitments'!D11+'Purchase commitments'!D11,"")</f>
        <v/>
      </c>
      <c r="E11" s="11">
        <f>IF(AND('Uncommenced lease commitments'!E11&lt;&gt;"",'Purchase commitments'!E11&lt;&gt;""),'Uncommenced lease commitments'!E11+'Purchase commitments'!E11,"")</f>
        <v/>
      </c>
      <c r="F11" s="11">
        <f>IF(AND('Uncommenced lease commitments'!F11&lt;&gt;"",'Purchase commitments'!F11&lt;&gt;""),'Uncommenced lease commitments'!F11+'Purchase commitments'!F11,"")</f>
        <v/>
      </c>
      <c r="G11" s="11">
        <f>IF(AND('Uncommenced lease commitments'!G11&lt;&gt;"",'Purchase commitments'!G11&lt;&gt;""),'Uncommenced lease commitments'!G11+'Purchase commitments'!G11,"")</f>
        <v/>
      </c>
      <c r="H11" s="12">
        <f>IF(COUNT(B11:G11)=0,"",SUM(B11:G11))</f>
        <v/>
      </c>
    </row>
    <row r="12">
      <c r="A12" s="4" t="inlineStr">
        <is>
          <t>2025Q2</t>
        </is>
      </c>
      <c r="B12" s="11">
        <f>IF(AND('Uncommenced lease commitments'!B12&lt;&gt;"",'Purchase commitments'!B12&lt;&gt;""),'Uncommenced lease commitments'!B12+'Purchase commitments'!B12,"")</f>
        <v/>
      </c>
      <c r="C12" s="11">
        <f>IF(AND('Uncommenced lease commitments'!C12&lt;&gt;"",'Purchase commitments'!C12&lt;&gt;""),'Uncommenced lease commitments'!C12+'Purchase commitments'!C12,"")</f>
        <v/>
      </c>
      <c r="D12" s="11">
        <f>IF(AND('Uncommenced lease commitments'!D12&lt;&gt;"",'Purchase commitments'!D12&lt;&gt;""),'Uncommenced lease commitments'!D12+'Purchase commitments'!D12,"")</f>
        <v/>
      </c>
      <c r="E12" s="11">
        <f>IF(AND('Uncommenced lease commitments'!E12&lt;&gt;"",'Purchase commitments'!E12&lt;&gt;""),'Uncommenced lease commitments'!E12+'Purchase commitments'!E12,"")</f>
        <v/>
      </c>
      <c r="F12" s="11">
        <f>IF(AND('Uncommenced lease commitments'!F12&lt;&gt;"",'Purchase commitments'!F12&lt;&gt;""),'Uncommenced lease commitments'!F12+'Purchase commitments'!F12,"")</f>
        <v/>
      </c>
      <c r="G12" s="11">
        <f>IF(AND('Uncommenced lease commitments'!G12&lt;&gt;"",'Purchase commitments'!G12&lt;&gt;""),'Uncommenced lease commitments'!G12+'Purchase commitments'!G12,"")</f>
        <v/>
      </c>
      <c r="H12" s="12">
        <f>IF(COUNT(B12:G12)=0,"",SUM(B12:G12))</f>
        <v/>
      </c>
    </row>
    <row r="13">
      <c r="A13" s="4" t="inlineStr">
        <is>
          <t>2025Q3</t>
        </is>
      </c>
      <c r="B13" s="11">
        <f>IF(AND('Uncommenced lease commitments'!B13&lt;&gt;"",'Purchase commitments'!B13&lt;&gt;""),'Uncommenced lease commitments'!B13+'Purchase commitments'!B13,"")</f>
        <v/>
      </c>
      <c r="C13" s="11">
        <f>IF(AND('Uncommenced lease commitments'!C13&lt;&gt;"",'Purchase commitments'!C13&lt;&gt;""),'Uncommenced lease commitments'!C13+'Purchase commitments'!C13,"")</f>
        <v/>
      </c>
      <c r="D13" s="11">
        <f>IF(AND('Uncommenced lease commitments'!D13&lt;&gt;"",'Purchase commitments'!D13&lt;&gt;""),'Uncommenced lease commitments'!D13+'Purchase commitments'!D13,"")</f>
        <v/>
      </c>
      <c r="E13" s="11">
        <f>IF(AND('Uncommenced lease commitments'!E13&lt;&gt;"",'Purchase commitments'!E13&lt;&gt;""),'Uncommenced lease commitments'!E13+'Purchase commitments'!E13,"")</f>
        <v/>
      </c>
      <c r="F13" s="11">
        <f>IF(AND('Uncommenced lease commitments'!F13&lt;&gt;"",'Purchase commitments'!F13&lt;&gt;""),'Uncommenced lease commitments'!F13+'Purchase commitments'!F13,"")</f>
        <v/>
      </c>
      <c r="G13" s="11">
        <f>IF(AND('Uncommenced lease commitments'!G13&lt;&gt;"",'Purchase commitments'!G13&lt;&gt;""),'Uncommenced lease commitments'!G13+'Purchase commitments'!G13,"")</f>
        <v/>
      </c>
      <c r="H13" s="12">
        <f>IF(COUNT(B13:G13)=0,"",SUM(B13:G13))</f>
        <v/>
      </c>
    </row>
    <row r="14">
      <c r="A14" s="4" t="inlineStr">
        <is>
          <t>2025Q4</t>
        </is>
      </c>
      <c r="B14" s="11">
        <f>IF(AND('Uncommenced lease commitments'!B14&lt;&gt;"",'Purchase commitments'!B14&lt;&gt;""),'Uncommenced lease commitments'!B14+'Purchase commitments'!B14,"")</f>
        <v/>
      </c>
      <c r="C14" s="11">
        <f>IF(AND('Uncommenced lease commitments'!C14&lt;&gt;"",'Purchase commitments'!C14&lt;&gt;""),'Uncommenced lease commitments'!C14+'Purchase commitments'!C14,"")</f>
        <v/>
      </c>
      <c r="D14" s="11">
        <f>IF(AND('Uncommenced lease commitments'!D14&lt;&gt;"",'Purchase commitments'!D14&lt;&gt;""),'Uncommenced lease commitments'!D14+'Purchase commitments'!D14,"")</f>
        <v/>
      </c>
      <c r="E14" s="11">
        <f>IF(AND('Uncommenced lease commitments'!E14&lt;&gt;"",'Purchase commitments'!E14&lt;&gt;""),'Uncommenced lease commitments'!E14+'Purchase commitments'!E14,"")</f>
        <v/>
      </c>
      <c r="F14" s="11">
        <f>IF(AND('Uncommenced lease commitments'!F14&lt;&gt;"",'Purchase commitments'!F14&lt;&gt;""),'Uncommenced lease commitments'!F14+'Purchase commitments'!F14,"")</f>
        <v/>
      </c>
      <c r="G14" s="11">
        <f>IF(AND('Uncommenced lease commitments'!G14&lt;&gt;"",'Purchase commitments'!G14&lt;&gt;""),'Uncommenced lease commitments'!G14+'Purchase commitments'!G14,"")</f>
        <v/>
      </c>
      <c r="H14" s="12">
        <f>IF(COUNT(B14:G14)=0,"",SUM(B14:G14))</f>
        <v/>
      </c>
    </row>
    <row r="15">
      <c r="A15" s="4" t="inlineStr">
        <is>
          <t>2026Q1</t>
        </is>
      </c>
      <c r="B15" s="11">
        <f>IF(AND('Uncommenced lease commitments'!B15&lt;&gt;"",'Purchase commitments'!B15&lt;&gt;""),'Uncommenced lease commitments'!B15+'Purchase commitments'!B15,"")</f>
        <v/>
      </c>
      <c r="C15" s="11">
        <f>IF(AND('Uncommenced lease commitments'!C15&lt;&gt;"",'Purchase commitments'!C15&lt;&gt;""),'Uncommenced lease commitments'!C15+'Purchase commitments'!C15,"")</f>
        <v/>
      </c>
      <c r="D15" s="11">
        <f>IF(AND('Uncommenced lease commitments'!D15&lt;&gt;"",'Purchase commitments'!D15&lt;&gt;""),'Uncommenced lease commitments'!D15+'Purchase commitments'!D15,"")</f>
        <v/>
      </c>
      <c r="E15" s="11">
        <f>IF(AND('Uncommenced lease commitments'!E15&lt;&gt;"",'Purchase commitments'!E15&lt;&gt;""),'Uncommenced lease commitments'!E15+'Purchase commitments'!E15,"")</f>
        <v/>
      </c>
      <c r="F15" s="11">
        <f>IF(AND('Uncommenced lease commitments'!F15&lt;&gt;"",'Purchase commitments'!F15&lt;&gt;""),'Uncommenced lease commitments'!F15+'Purchase commitments'!F15,"")</f>
        <v/>
      </c>
      <c r="G15" s="11">
        <f>IF(AND('Uncommenced lease commitments'!G15&lt;&gt;"",'Purchase commitments'!G15&lt;&gt;""),'Uncommenced lease commitments'!G15+'Purchase commitments'!G15,"")</f>
        <v/>
      </c>
      <c r="H15" s="12">
        <f>IF(COUNT(B15:G15)=0,"",SUM(B15:G15))</f>
        <v/>
      </c>
    </row>
    <row r="16">
      <c r="A16" s="4" t="inlineStr">
        <is>
          <t>2026Q2</t>
        </is>
      </c>
      <c r="B16" s="11">
        <f>IF(AND('Uncommenced lease commitments'!B16&lt;&gt;"",'Purchase commitments'!B16&lt;&gt;""),'Uncommenced lease commitments'!B16+'Purchase commitments'!B16,"")</f>
        <v/>
      </c>
      <c r="C16" s="11">
        <f>IF(AND('Uncommenced lease commitments'!C16&lt;&gt;"",'Purchase commitments'!C16&lt;&gt;""),'Uncommenced lease commitments'!C16+'Purchase commitments'!C16,"")</f>
        <v/>
      </c>
      <c r="D16" s="11">
        <f>IF(AND('Uncommenced lease commitments'!D16&lt;&gt;"",'Purchase commitments'!D16&lt;&gt;""),'Uncommenced lease commitments'!D16+'Purchase commitments'!D16,"")</f>
        <v/>
      </c>
      <c r="E16" s="11">
        <f>IF(AND('Uncommenced lease commitments'!E16&lt;&gt;"",'Purchase commitments'!E16&lt;&gt;""),'Uncommenced lease commitments'!E16+'Purchase commitments'!E16,"")</f>
        <v/>
      </c>
      <c r="F16" s="11">
        <f>IF(AND('Uncommenced lease commitments'!F16&lt;&gt;"",'Purchase commitments'!F16&lt;&gt;""),'Uncommenced lease commitments'!F16+'Purchase commitments'!F16,"")</f>
        <v/>
      </c>
      <c r="G16" s="11">
        <f>IF(AND('Uncommenced lease commitments'!G16&lt;&gt;"",'Purchase commitments'!G16&lt;&gt;""),'Uncommenced lease commitments'!G16+'Purchase commitments'!G16,"")</f>
        <v/>
      </c>
      <c r="H16" s="12">
        <f>IF(COUNT(B16:G16)=0,"",SUM(B16:G16))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9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What is populated, and how well sourced</t>
        </is>
      </c>
    </row>
    <row r="2">
      <c r="A2" s="10" t="inlineStr">
        <is>
          <t>Read this before using the numbers. It is the honest map of where the dataset is solid and where it is thin.</t>
        </is>
      </c>
    </row>
    <row r="4" ht="28" customHeight="1">
      <c r="A4" s="6" t="inlineStr">
        <is>
          <t>Ticker</t>
        </is>
      </c>
      <c r="B4" s="6" t="inlineStr">
        <is>
          <t>Metric</t>
        </is>
      </c>
      <c r="C4" s="6" t="inlineStr">
        <is>
          <t>Quarters populated</t>
        </is>
      </c>
      <c r="D4" s="6" t="inlineStr">
        <is>
          <t>of 12</t>
        </is>
      </c>
      <c r="E4" s="6" t="inlineStr">
        <is>
          <t>filing / filing_table</t>
        </is>
      </c>
      <c r="F4" s="6" t="inlineStr">
        <is>
          <t>press / derived</t>
        </is>
      </c>
    </row>
    <row r="5">
      <c r="A5" s="4" t="inlineStr">
        <is>
          <t>GOOGL</t>
        </is>
      </c>
      <c r="B5" s="4" t="inlineStr">
        <is>
          <t>Uncommenced lease commitments</t>
        </is>
      </c>
      <c r="C5" s="4" t="n">
        <v>6</v>
      </c>
      <c r="D5" s="10" t="n">
        <v>12</v>
      </c>
      <c r="E5" s="4" t="n">
        <v>6</v>
      </c>
      <c r="F5" s="4" t="n">
        <v>0</v>
      </c>
    </row>
    <row r="6">
      <c r="A6" s="4" t="inlineStr">
        <is>
          <t>GOOGL</t>
        </is>
      </c>
      <c r="B6" s="4" t="inlineStr">
        <is>
          <t>Purchase commitments</t>
        </is>
      </c>
      <c r="C6" s="4" t="n">
        <v>6</v>
      </c>
      <c r="D6" s="10" t="n">
        <v>12</v>
      </c>
      <c r="E6" s="4" t="n">
        <v>6</v>
      </c>
      <c r="F6" s="4" t="n">
        <v>0</v>
      </c>
    </row>
    <row r="7">
      <c r="A7" s="4" t="inlineStr">
        <is>
          <t>MSFT</t>
        </is>
      </c>
      <c r="B7" s="4" t="inlineStr">
        <is>
          <t>Uncommenced lease commitments</t>
        </is>
      </c>
      <c r="C7" s="4" t="n">
        <v>10</v>
      </c>
      <c r="D7" s="10" t="n">
        <v>12</v>
      </c>
      <c r="E7" s="4" t="n">
        <v>10</v>
      </c>
      <c r="F7" s="4" t="n">
        <v>0</v>
      </c>
    </row>
    <row r="8">
      <c r="A8" s="4" t="inlineStr">
        <is>
          <t>MSFT</t>
        </is>
      </c>
      <c r="B8" s="4" t="inlineStr">
        <is>
          <t>Purchase commitments</t>
        </is>
      </c>
      <c r="C8" s="4" t="n">
        <v>3</v>
      </c>
      <c r="D8" s="10" t="n">
        <v>12</v>
      </c>
      <c r="E8" s="4" t="n">
        <v>2</v>
      </c>
      <c r="F8" s="4" t="n">
        <v>1</v>
      </c>
    </row>
    <row r="9">
      <c r="A9" s="4" t="inlineStr">
        <is>
          <t>META</t>
        </is>
      </c>
      <c r="B9" s="4" t="inlineStr">
        <is>
          <t>Uncommenced lease commitments</t>
        </is>
      </c>
      <c r="C9" s="4" t="n">
        <v>7</v>
      </c>
      <c r="D9" s="10" t="n">
        <v>12</v>
      </c>
      <c r="E9" s="4" t="n">
        <v>7</v>
      </c>
      <c r="F9" s="4" t="n">
        <v>0</v>
      </c>
    </row>
    <row r="10">
      <c r="A10" s="4" t="inlineStr">
        <is>
          <t>META</t>
        </is>
      </c>
      <c r="B10" s="4" t="inlineStr">
        <is>
          <t>Purchase commitments</t>
        </is>
      </c>
      <c r="C10" s="4" t="n">
        <v>7</v>
      </c>
      <c r="D10" s="10" t="n">
        <v>12</v>
      </c>
      <c r="E10" s="4" t="n">
        <v>6</v>
      </c>
      <c r="F10" s="4" t="n">
        <v>1</v>
      </c>
    </row>
    <row r="11">
      <c r="A11" s="4" t="inlineStr">
        <is>
          <t>AMZN</t>
        </is>
      </c>
      <c r="B11" s="4" t="inlineStr">
        <is>
          <t>Uncommenced lease commitments</t>
        </is>
      </c>
      <c r="C11" s="4" t="n">
        <v>5</v>
      </c>
      <c r="D11" s="10" t="n">
        <v>12</v>
      </c>
      <c r="E11" s="4" t="n">
        <v>4</v>
      </c>
      <c r="F11" s="4" t="n">
        <v>1</v>
      </c>
    </row>
    <row r="12">
      <c r="A12" s="4" t="inlineStr">
        <is>
          <t>AMZN</t>
        </is>
      </c>
      <c r="B12" s="4" t="inlineStr">
        <is>
          <t>Purchase commitments</t>
        </is>
      </c>
      <c r="C12" s="4" t="n">
        <v>4</v>
      </c>
      <c r="D12" s="10" t="n">
        <v>12</v>
      </c>
      <c r="E12" s="4" t="n">
        <v>4</v>
      </c>
      <c r="F12" s="4" t="n">
        <v>0</v>
      </c>
    </row>
    <row r="13">
      <c r="A13" s="4" t="inlineStr">
        <is>
          <t>NVDA</t>
        </is>
      </c>
      <c r="B13" s="4" t="inlineStr">
        <is>
          <t>Uncommenced lease commitments</t>
        </is>
      </c>
      <c r="C13" s="4" t="n">
        <v>0</v>
      </c>
      <c r="D13" s="10" t="n">
        <v>12</v>
      </c>
      <c r="E13" s="4" t="n">
        <v>0</v>
      </c>
      <c r="F13" s="4" t="n">
        <v>0</v>
      </c>
    </row>
    <row r="14">
      <c r="A14" s="4" t="inlineStr">
        <is>
          <t>NVDA</t>
        </is>
      </c>
      <c r="B14" s="4" t="inlineStr">
        <is>
          <t>Purchase commitments</t>
        </is>
      </c>
      <c r="C14" s="4" t="n">
        <v>4</v>
      </c>
      <c r="D14" s="10" t="n">
        <v>12</v>
      </c>
      <c r="E14" s="4" t="n">
        <v>4</v>
      </c>
      <c r="F14" s="4" t="n">
        <v>0</v>
      </c>
    </row>
    <row r="15">
      <c r="A15" s="4" t="inlineStr">
        <is>
          <t>ORCL</t>
        </is>
      </c>
      <c r="B15" s="4" t="inlineStr">
        <is>
          <t>Uncommenced lease commitments</t>
        </is>
      </c>
      <c r="C15" s="4" t="n">
        <v>4</v>
      </c>
      <c r="D15" s="10" t="n">
        <v>12</v>
      </c>
      <c r="E15" s="4" t="n">
        <v>4</v>
      </c>
      <c r="F15" s="4" t="n">
        <v>0</v>
      </c>
    </row>
    <row r="16">
      <c r="A16" s="4" t="inlineStr">
        <is>
          <t>ORCL</t>
        </is>
      </c>
      <c r="B16" s="4" t="inlineStr">
        <is>
          <t>Purchase commitments</t>
        </is>
      </c>
      <c r="C16" s="4" t="n">
        <v>3</v>
      </c>
      <c r="D16" s="10" t="n">
        <v>12</v>
      </c>
      <c r="E16" s="4" t="n">
        <v>2</v>
      </c>
      <c r="F16" s="4" t="n">
        <v>1</v>
      </c>
    </row>
    <row r="18">
      <c r="A18" s="10" t="inlineStr">
        <is>
          <t>2023 and most of 2024 are thin by nature: several of these companies only began disclosing a material uncommenced-lease balance during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2026-08-28T23:54:54Z</dcterms:created>
  <dcterms:modified xsi:type="dcterms:W3CDTF">2026-08-28T23:54:54Z</dcterms:modified>
</cp:coreProperties>
</file>